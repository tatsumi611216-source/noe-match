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①ロードマップ" sheetId="2" state="visible" r:id="rId2"/>
    <sheet name="②WBS" sheetId="3" state="visible" r:id="rId3"/>
    <sheet name="③リスク管理表" sheetId="4" state="visible" r:id="rId4"/>
  </sheets>
  <definedNames>
    <definedName name="_xlnm._FilterDatabase" localSheetId="1" hidden="1">'①ロードマップ'!$A$3:$N$16</definedName>
    <definedName name="_xlnm._FilterDatabase" localSheetId="2" hidden="1">'②WBS'!$A$2:$O$180</definedName>
    <definedName name="_xlnm._FilterDatabase" localSheetId="3" hidden="1">'③リスク管理表'!$A$2:$N$45</definedName>
  </definedNames>
  <calcPr calcId="124519" fullCalcOnLoad="1"/>
</workbook>
</file>

<file path=xl/styles.xml><?xml version="1.0" encoding="utf-8"?>
<styleSheet xmlns="http://schemas.openxmlformats.org/spreadsheetml/2006/main">
  <numFmts count="6">
    <numFmt numFmtId="164" formatCode="yy&quot;/&quot;m"/>
    <numFmt numFmtId="165" formatCode="yyyy&quot;年&quot;m&quot;月&quot;"/>
    <numFmt numFmtId="166" formatCode="yyyy&quot;/&quot;m"/>
    <numFmt numFmtId="167" formatCode="yyyy-mm-dd"/>
    <numFmt numFmtId="168" formatCode="yyyy/mm/dd"/>
    <numFmt numFmtId="169" formatCode="0.0%"/>
  </numFmts>
  <fonts count="14">
    <font>
      <name val="Calibri"/>
      <family val="2"/>
      <color theme="1"/>
      <sz val="11"/>
      <scheme val="minor"/>
    </font>
    <font>
      <name val="Meiryo"/>
      <b val="1"/>
      <color rgb="002F6B4F"/>
      <sz val="14"/>
    </font>
    <font>
      <name val="Meiryo"/>
      <color rgb="006B756E"/>
      <sz val="9"/>
    </font>
    <font>
      <name val="Meiryo"/>
      <color rgb="006B756E"/>
      <sz val="8"/>
    </font>
    <font>
      <name val="Meiryo"/>
      <color rgb="009AA69C"/>
      <sz val="7"/>
    </font>
    <font>
      <name val="Meiryo"/>
      <b val="1"/>
      <color rgb="00FFFFFF"/>
      <sz val="10"/>
    </font>
    <font>
      <name val="Meiryo"/>
      <b val="1"/>
      <color rgb="00FFFFFF"/>
      <sz val="7"/>
    </font>
    <font>
      <name val="Meiryo"/>
      <b val="1"/>
      <color rgb="001F2A24"/>
      <sz val="10"/>
    </font>
    <font>
      <name val="Meiryo"/>
      <color rgb="001F2A24"/>
      <sz val="10"/>
    </font>
    <font>
      <name val="Meiryo"/>
      <b val="1"/>
      <color rgb="002F6B4F"/>
      <sz val="16"/>
    </font>
    <font>
      <name val="Meiryo"/>
      <b val="1"/>
      <color rgb="001F2A24"/>
      <sz val="11"/>
    </font>
    <font>
      <name val="Meiryo"/>
      <b val="1"/>
      <color rgb="000000FF"/>
      <sz val="11"/>
    </font>
    <font>
      <name val="Meiryo"/>
      <b val="1"/>
      <color rgb="002F6B4F"/>
      <sz val="10"/>
    </font>
    <font>
      <name val="Meiryo"/>
      <color rgb="004B564E"/>
      <sz val="9"/>
    </font>
  </fonts>
  <fills count="7">
    <fill>
      <patternFill/>
    </fill>
    <fill>
      <patternFill patternType="gray125"/>
    </fill>
    <fill>
      <patternFill patternType="solid">
        <fgColor rgb="002F6B4F"/>
      </patternFill>
    </fill>
    <fill>
      <patternFill patternType="solid">
        <fgColor rgb="00FFF6CC"/>
      </patternFill>
    </fill>
    <fill>
      <patternFill patternType="solid">
        <fgColor rgb="00E6ECE6"/>
      </patternFill>
    </fill>
    <fill>
      <patternFill patternType="solid">
        <fgColor rgb="00F2F5F0"/>
      </patternFill>
    </fill>
    <fill>
      <patternFill patternType="solid">
        <fgColor rgb="00A93C27"/>
      </patternFill>
    </fill>
  </fills>
  <borders count="2">
    <border>
      <left/>
      <right/>
      <top/>
      <bottom/>
      <diagonal/>
    </border>
    <border>
      <left style="thin">
        <color rgb="00C9D2C9"/>
      </left>
      <right style="thin">
        <color rgb="00C9D2C9"/>
      </right>
      <top style="thin">
        <color rgb="00C9D2C9"/>
      </top>
      <bottom style="thin">
        <color rgb="00C9D2C9"/>
      </bottom>
    </border>
  </borders>
  <cellStyleXfs count="1">
    <xf numFmtId="0" fontId="0" fillId="0" borderId="0"/>
  </cellStyleXfs>
  <cellXfs count="42">
    <xf numFmtId="0" fontId="0" fillId="0" borderId="0" pivotButton="0" quotePrefix="0" xfId="0"/>
    <xf numFmtId="0" fontId="9" fillId="0" borderId="0" pivotButton="0" quotePrefix="0" xfId="0"/>
    <xf numFmtId="0" fontId="2" fillId="0" borderId="0" pivotButton="0" quotePrefix="0" xfId="0"/>
    <xf numFmtId="0" fontId="10" fillId="0" borderId="0" pivotButton="0" quotePrefix="0" xfId="0"/>
    <xf numFmtId="0" fontId="8" fillId="0" borderId="0" pivotButton="0" quotePrefix="0" xfId="0"/>
    <xf numFmtId="168" fontId="11" fillId="3" borderId="1" pivotButton="0" quotePrefix="0" xfId="0"/>
    <xf numFmtId="0" fontId="12" fillId="0" borderId="0" pivotButton="0" quotePrefix="0" xfId="0"/>
    <xf numFmtId="0" fontId="7" fillId="3" borderId="1" pivotButton="0" quotePrefix="0" xfId="0"/>
    <xf numFmtId="0" fontId="7" fillId="0" borderId="1" pivotButton="0" quotePrefix="0" xfId="0"/>
    <xf numFmtId="0" fontId="5" fillId="2" borderId="1" pivotButton="0" quotePrefix="0" xfId="0"/>
    <xf numFmtId="0" fontId="8" fillId="0" borderId="1" pivotButton="0" quotePrefix="0" xfId="0"/>
    <xf numFmtId="0" fontId="8" fillId="3" borderId="1" pivotButton="0" quotePrefix="0" xfId="0"/>
    <xf numFmtId="0" fontId="5" fillId="2" borderId="1" applyAlignment="1" pivotButton="0" quotePrefix="0" xfId="0">
      <alignment horizontal="center"/>
    </xf>
    <xf numFmtId="0" fontId="8" fillId="0" borderId="1" applyAlignment="1" pivotButton="0" quotePrefix="0" xfId="0">
      <alignment horizontal="center"/>
    </xf>
    <xf numFmtId="169" fontId="8" fillId="0" borderId="1" applyAlignment="1" pivotButton="0" quotePrefix="0" xfId="0">
      <alignment horizontal="center"/>
    </xf>
    <xf numFmtId="0" fontId="13" fillId="0" borderId="0" applyAlignment="1" pivotButton="0" quotePrefix="0" xfId="0">
      <alignment vertical="top" wrapText="1"/>
    </xf>
    <xf numFmtId="0" fontId="1" fillId="0" borderId="0" pivotButton="0" quotePrefix="0" xfId="0"/>
    <xf numFmtId="0" fontId="3" fillId="0" borderId="0" applyAlignment="1" pivotButton="0" quotePrefix="0" xfId="0">
      <alignment horizontal="right"/>
    </xf>
    <xf numFmtId="0" fontId="4" fillId="0" borderId="0" applyAlignment="1" pivotButton="0" quotePrefix="0" xfId="0">
      <alignment horizontal="center"/>
    </xf>
    <xf numFmtId="0" fontId="5" fillId="2" borderId="1" applyAlignment="1" pivotButton="0" quotePrefix="0" xfId="0">
      <alignment vertical="center" wrapText="1"/>
    </xf>
    <xf numFmtId="164" fontId="6" fillId="2" borderId="0" applyAlignment="1" pivotButton="0" quotePrefix="0" xfId="0">
      <alignment horizontal="center" vertical="center" textRotation="90"/>
    </xf>
    <xf numFmtId="0" fontId="8" fillId="0" borderId="1" applyAlignment="1" pivotButton="0" quotePrefix="0" xfId="0">
      <alignment vertical="top"/>
    </xf>
    <xf numFmtId="0" fontId="7" fillId="0" borderId="1" applyAlignment="1" pivotButton="0" quotePrefix="0" xfId="0">
      <alignment vertical="top"/>
    </xf>
    <xf numFmtId="0" fontId="8" fillId="0" borderId="1" applyAlignment="1" pivotButton="0" quotePrefix="0" xfId="0">
      <alignment vertical="top" wrapText="1"/>
    </xf>
    <xf numFmtId="3" fontId="8" fillId="3" borderId="1" applyAlignment="1" pivotButton="0" quotePrefix="0" xfId="0">
      <alignment horizontal="center" vertical="top"/>
    </xf>
    <xf numFmtId="3" fontId="8" fillId="0" borderId="1" applyAlignment="1" pivotButton="0" quotePrefix="0" xfId="0">
      <alignment horizontal="center" vertical="top"/>
    </xf>
    <xf numFmtId="165" fontId="8" fillId="0" borderId="1" applyAlignment="1" pivotButton="0" quotePrefix="0" xfId="0">
      <alignment vertical="top"/>
    </xf>
    <xf numFmtId="0" fontId="8" fillId="3" borderId="1" applyAlignment="1" pivotButton="0" quotePrefix="0" xfId="0">
      <alignment vertical="top"/>
    </xf>
    <xf numFmtId="0" fontId="0" fillId="4" borderId="1" pivotButton="0" quotePrefix="0" xfId="0"/>
    <xf numFmtId="0" fontId="7" fillId="4" borderId="1" pivotButton="0" quotePrefix="0" xfId="0"/>
    <xf numFmtId="3" fontId="7" fillId="4" borderId="1" applyAlignment="1" pivotButton="0" quotePrefix="0" xfId="0">
      <alignment horizontal="center"/>
    </xf>
    <xf numFmtId="0" fontId="2" fillId="4" borderId="1" pivotButton="0" quotePrefix="0" xfId="0"/>
    <xf numFmtId="0" fontId="8" fillId="5" borderId="1" applyAlignment="1" pivotButton="0" quotePrefix="0" xfId="0">
      <alignment horizontal="center" vertical="top"/>
    </xf>
    <xf numFmtId="0" fontId="8" fillId="5" borderId="1" applyAlignment="1" pivotButton="0" quotePrefix="0" xfId="0">
      <alignment vertical="top"/>
    </xf>
    <xf numFmtId="0" fontId="7" fillId="5" borderId="1" applyAlignment="1" pivotButton="0" quotePrefix="0" xfId="0">
      <alignment vertical="top" wrapText="1"/>
    </xf>
    <xf numFmtId="0" fontId="8" fillId="5" borderId="1" applyAlignment="1" pivotButton="0" quotePrefix="0" xfId="0">
      <alignment vertical="top" wrapText="1"/>
    </xf>
    <xf numFmtId="166" fontId="8" fillId="5" borderId="1" applyAlignment="1" pivotButton="0" quotePrefix="0" xfId="0">
      <alignment horizontal="center" vertical="top"/>
    </xf>
    <xf numFmtId="0" fontId="8" fillId="3" borderId="1" applyAlignment="1" pivotButton="0" quotePrefix="0" xfId="0">
      <alignment horizontal="center" vertical="top"/>
    </xf>
    <xf numFmtId="0" fontId="8" fillId="0" borderId="1" applyAlignment="1" pivotButton="0" quotePrefix="0" xfId="0">
      <alignment horizontal="center" vertical="top"/>
    </xf>
    <xf numFmtId="0" fontId="7" fillId="0" borderId="1" applyAlignment="1" pivotButton="0" quotePrefix="0" xfId="0">
      <alignment vertical="top" wrapText="1"/>
    </xf>
    <xf numFmtId="166" fontId="8" fillId="0" borderId="1" applyAlignment="1" pivotButton="0" quotePrefix="0" xfId="0">
      <alignment horizontal="center" vertical="top"/>
    </xf>
    <xf numFmtId="0" fontId="5" fillId="6" borderId="1" applyAlignment="1" pivotButton="0" quotePrefix="0" xfId="0">
      <alignment vertical="center" wrapText="1"/>
    </xf>
  </cellXfs>
  <cellStyles count="1">
    <cellStyle name="Normal" xfId="0" builtinId="0" hidden="0"/>
  </cellStyles>
  <dxfs count="9">
    <dxf>
      <fill>
        <patternFill patternType="solid">
          <fgColor rgb="00E5D3AE"/>
        </patternFill>
      </fill>
    </dxf>
    <dxf>
      <fill>
        <patternFill patternType="solid">
          <fgColor rgb="00BFD9C6"/>
        </patternFill>
      </fill>
    </dxf>
    <dxf>
      <font>
        <name val="Meiryo"/>
        <color rgb="002F6B4F"/>
      </font>
      <fill>
        <patternFill patternType="solid">
          <fgColor rgb="00D6EBDC"/>
        </patternFill>
      </fill>
    </dxf>
    <dxf>
      <font>
        <name val="Meiryo"/>
        <color rgb="008A6428"/>
      </font>
      <fill>
        <patternFill patternType="solid">
          <fgColor rgb="00FCEFD0"/>
        </patternFill>
      </fill>
    </dxf>
    <dxf>
      <font>
        <name val="Meiryo"/>
        <color rgb="009AA69C"/>
      </font>
      <fill>
        <patternFill patternType="solid">
          <fgColor rgb="00EDEFEC"/>
        </patternFill>
      </fill>
    </dxf>
    <dxf>
      <font>
        <name val="Meiryo"/>
        <b val="1"/>
        <color rgb="00A93C27"/>
      </font>
      <fill>
        <patternFill patternType="solid">
          <fgColor rgb="00F6E3DD"/>
        </patternFill>
      </fill>
    </dxf>
    <dxf>
      <font>
        <name val="Meiryo"/>
        <b val="1"/>
        <color rgb="00FFFFFF"/>
      </font>
      <fill>
        <patternFill patternType="solid">
          <fgColor rgb="00A93C27"/>
        </patternFill>
      </fill>
    </dxf>
    <dxf>
      <font>
        <name val="Meiryo"/>
        <color rgb="00A93C27"/>
      </font>
      <fill>
        <patternFill patternType="solid">
          <fgColor rgb="00F0C9BE"/>
        </patternFill>
      </fill>
    </dxf>
    <dxf>
      <font>
        <name val="Meiryo"/>
        <b val="1"/>
        <color rgb="00A93C2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showGridLines="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同棲 → 結婚 → 結婚式 → 妊活 → 出産 → 子1歳 の計画表</t>
        </is>
      </c>
    </row>
    <row r="2">
      <c r="A2" s="2" t="inlineStr">
        <is>
          <t>作成日：2026-08-11 ／ 制度情報は2026年8月時点</t>
        </is>
      </c>
    </row>
    <row r="4">
      <c r="A4" s="3" t="inlineStr">
        <is>
          <t>■ 最初にここだけ入力してください</t>
        </is>
      </c>
    </row>
    <row r="5">
      <c r="A5" s="4" t="inlineStr">
        <is>
          <t>基準日（＝計画の起点。同棲を始める月の1日を入れる）</t>
        </is>
      </c>
      <c r="C5" s="5" t="n">
        <v>46296</v>
      </c>
    </row>
    <row r="6">
      <c r="A6" s="2" t="inlineStr">
        <is>
          <t>→ この日付を変えると、①②の「予定開始／予定完了／目安時期」とガントが全部動きます</t>
        </is>
      </c>
    </row>
    <row r="8">
      <c r="A8" s="3" t="inlineStr">
        <is>
          <t>■ シートの構成</t>
        </is>
      </c>
    </row>
    <row r="9">
      <c r="A9" s="6" t="inlineStr">
        <is>
          <t>①ロードマップ</t>
        </is>
      </c>
      <c r="C9" s="4" t="inlineStr">
        <is>
          <t>13フェーズの全体像。期間・費用・意思決定・リスクを1行にまとめ、右側にガントチャート</t>
        </is>
      </c>
    </row>
    <row r="10">
      <c r="A10" s="6" t="inlineStr">
        <is>
          <t>②WBS</t>
        </is>
      </c>
      <c r="C10" s="4" t="inlineStr">
        <is>
          <t>①を分解した実行タスク一覧。「論点」「選択肢・候補」「判断軸」の3列が実際に迷う場所</t>
        </is>
      </c>
    </row>
    <row r="11">
      <c r="A11" s="6" t="inlineStr">
        <is>
          <t>③リスク管理表</t>
        </is>
      </c>
      <c r="C11" s="4" t="inlineStr">
        <is>
          <t>各フェーズで配偶者との関係が悪化する想定リスクと、その予防策・発生時の対応</t>
        </is>
      </c>
    </row>
    <row r="13">
      <c r="A13" s="3" t="inlineStr">
        <is>
          <t>■ 色の意味</t>
        </is>
      </c>
    </row>
    <row r="14">
      <c r="A14" s="7" t="inlineStr">
        <is>
          <t>黄色のセル</t>
        </is>
      </c>
      <c r="C14" s="4" t="inlineStr">
        <is>
          <t>自分たちで書き換える入力欄（基準日・期間・費用・確率・影響・状態・メモ）</t>
        </is>
      </c>
    </row>
    <row r="15">
      <c r="A15" s="8" t="inlineStr">
        <is>
          <t>白いセル</t>
        </is>
      </c>
      <c r="C15" s="4" t="inlineStr">
        <is>
          <t>そのまま使う内容、または自動計算（数式が入っているので上書きしない）</t>
        </is>
      </c>
    </row>
    <row r="16">
      <c r="A16" s="8" t="inlineStr">
        <is>
          <t>赤い文字・赤い背景</t>
        </is>
      </c>
      <c r="C16" s="4" t="inlineStr">
        <is>
          <t>法定期限があるもの／リスクの優先度が高いもの</t>
        </is>
      </c>
    </row>
    <row r="17">
      <c r="A17" s="8" t="inlineStr">
        <is>
          <t>担当欄の「妊娠する側」</t>
        </is>
      </c>
      <c r="C17" s="4" t="inlineStr">
        <is>
          <t>妊娠・出産する本人。「パートナー」はもう一方。あくまで一般的な例なので、実際の家庭に合わせて書き換えてください</t>
        </is>
      </c>
    </row>
    <row r="19">
      <c r="A19" s="3" t="inlineStr">
        <is>
          <t>■ 記入例（②WBS の使い方）</t>
        </is>
      </c>
    </row>
    <row r="20">
      <c r="A20" s="9" t="inlineStr">
        <is>
          <t>WBS-ID</t>
        </is>
      </c>
      <c r="B20" s="9" t="inlineStr">
        <is>
          <t>タスク</t>
        </is>
      </c>
      <c r="C20" s="9" t="inlineStr">
        <is>
          <t>状態</t>
        </is>
      </c>
      <c r="D20" s="9" t="inlineStr">
        <is>
          <t>メモ</t>
        </is>
      </c>
    </row>
    <row r="21">
      <c r="A21" s="10" t="inlineStr">
        <is>
          <t>P1-02</t>
        </is>
      </c>
      <c r="B21" s="10" t="inlineStr">
        <is>
          <t>住むエリアを決める</t>
        </is>
      </c>
      <c r="C21" s="11" t="inlineStr">
        <is>
          <t>進行中</t>
        </is>
      </c>
      <c r="D21" s="11" t="inlineStr">
        <is>
          <t>9/20に◯◯区と△△市の待機児童数を比較。10/5までに結論</t>
        </is>
      </c>
    </row>
    <row r="23">
      <c r="A23" s="3" t="inlineStr">
        <is>
          <t>■ 進捗サマリー（自動集計）</t>
        </is>
      </c>
    </row>
    <row r="24">
      <c r="A24" s="12" t="inlineStr"/>
      <c r="B24" s="12" t="inlineStr">
        <is>
          <t>全タスク</t>
        </is>
      </c>
      <c r="C24" s="12" t="inlineStr">
        <is>
          <t>未着手</t>
        </is>
      </c>
      <c r="D24" s="12" t="inlineStr">
        <is>
          <t>進行中</t>
        </is>
      </c>
      <c r="E24" s="12" t="inlineStr">
        <is>
          <t>完了</t>
        </is>
      </c>
      <c r="F24" s="12" t="inlineStr">
        <is>
          <t>対象外</t>
        </is>
      </c>
      <c r="G24" s="12" t="inlineStr">
        <is>
          <t>進捗率</t>
        </is>
      </c>
    </row>
    <row r="25">
      <c r="A25" s="8" t="inlineStr">
        <is>
          <t>②WBS</t>
        </is>
      </c>
      <c r="B25" s="13">
        <f>COUNTA('②WBS'!$N$3:$N$180)</f>
        <v/>
      </c>
      <c r="C25" s="13">
        <f>COUNTIF('②WBS'!$N$3:$N$180,"未着手")</f>
        <v/>
      </c>
      <c r="D25" s="13">
        <f>COUNTIF('②WBS'!$N$3:$N$180,"進行中")</f>
        <v/>
      </c>
      <c r="E25" s="13">
        <f>COUNTIF('②WBS'!$N$3:$N$180,"完了")</f>
        <v/>
      </c>
      <c r="F25" s="13">
        <f>COUNTIF('②WBS'!$N$3:$N$180,"対象外")</f>
        <v/>
      </c>
      <c r="G25" s="14">
        <f>IF(B25-F25=0,0,E25/(B25-F25))</f>
        <v/>
      </c>
    </row>
    <row r="26">
      <c r="A26" s="8" t="inlineStr">
        <is>
          <t>③リスク管理表</t>
        </is>
      </c>
      <c r="B26" s="13">
        <f>COUNTA('③リスク管理表'!$N$3:$N$45)</f>
        <v/>
      </c>
      <c r="C26" s="13">
        <f>COUNTIF('③リスク管理表'!$N$3:$N$45,"未着手")</f>
        <v/>
      </c>
      <c r="D26" s="13">
        <f>COUNTIF('③リスク管理表'!$N$3:$N$45,"進行中")</f>
        <v/>
      </c>
      <c r="E26" s="13">
        <f>COUNTIF('③リスク管理表'!$N$3:$N$45,"完了")</f>
        <v/>
      </c>
      <c r="F26" s="13">
        <f>COUNTIF('③リスク管理表'!$N$3:$N$45,"対象外")</f>
        <v/>
      </c>
      <c r="G26" s="14">
        <f>IF(B26-F26=0,0,E26/(B26-F26))</f>
        <v/>
      </c>
    </row>
    <row r="28">
      <c r="A28" s="3" t="inlineStr">
        <is>
          <t>■ 前提と注意</t>
        </is>
      </c>
    </row>
    <row r="29" ht="30" customHeight="1">
      <c r="A29" s="15" t="inlineStr">
        <is>
          <t>・フェーズの期間はあくまで標準モデル。特に妊活（P8）は個人差が大きく、数ヶ月〜数年の幅がある。①の黄色いセルを実態に合わせて書き換えて使う。</t>
        </is>
      </c>
    </row>
    <row r="30" ht="30" customHeight="1">
      <c r="A30" s="15" t="inlineStr">
        <is>
          <t>・妊活・妊娠の時期を後ろにずらすと、その後のフェーズも全部後ろにずれる。年齢と妊娠率の関係があるため、結婚式と妊活の順番は意識的に決める。</t>
        </is>
      </c>
    </row>
    <row r="31" ht="30" customHeight="1">
      <c r="A31" s="15" t="inlineStr">
        <is>
          <t>・費用は目安であり、地域・式場・産院・治療内容で大きく変わる。ご祝儀・親の援助・出産育児一時金50万円・児童手当・育児休業給付金は差し引く前の金額。</t>
        </is>
      </c>
    </row>
    <row r="32" ht="30" customHeight="1">
      <c r="A32" s="15" t="inlineStr">
        <is>
          <t>・制度は2026年8月時点。RSV母子免疫ワクチンの定期接種化（2026年4月〜）、こども誰でも通園制度（2026年4月〜）、出生後休業支援給付金、育児時短就業給付を反映。出産費用の保険適用化は2027〜2028年度の見込みのため、出産育児一時金50万円を前提にしている。</t>
        </is>
      </c>
    </row>
    <row r="33" ht="30" customHeight="1">
      <c r="A33" s="15" t="inlineStr">
        <is>
          <t>・助成の金額・回数・申請時期は自治体差が非常に大きい。必ず住んでいる市区町村の公式情報で確認すること。</t>
        </is>
      </c>
    </row>
    <row r="34" ht="30" customHeight="1">
      <c r="A34" s="15" t="inlineStr">
        <is>
          <t>・本表は計画テンプレートであり、医療上の助言ではない。健康・治療・接種の判断は主治医に、制度の適用可否は自治体・健保・勤務先・ハローワークに確認すること。</t>
        </is>
      </c>
    </row>
    <row r="35" ht="30" customHeight="1">
      <c r="A35" s="15" t="inlineStr">
        <is>
          <t>・商品・サービス名は2026年8月時点で一般に流通している選択肢の例であり、特定の推奨ではない。価格と仕様は必ず最新の情報を確認すること。</t>
        </is>
      </c>
    </row>
  </sheetData>
  <mergeCells count="7">
    <mergeCell ref="A32:G32"/>
    <mergeCell ref="A31:G31"/>
    <mergeCell ref="A34:G34"/>
    <mergeCell ref="A35:G35"/>
    <mergeCell ref="A30:G30"/>
    <mergeCell ref="A29:G29"/>
    <mergeCell ref="A33:G3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7"/>
  <sheetViews>
    <sheetView zoomScale="90" workbookViewId="0">
      <pane xSplit="14" ySplit="3" topLeftCell="O4"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34" customWidth="1" min="3" max="3"/>
    <col width="6" customWidth="1" min="4" max="4"/>
    <col width="7" customWidth="1" min="5" max="5"/>
    <col width="7" customWidth="1" min="6" max="6"/>
    <col width="12" customWidth="1" min="7" max="7"/>
    <col width="12" customWidth="1" min="8" max="8"/>
    <col width="28" customWidth="1" min="9" max="9"/>
    <col width="44" customWidth="1" min="10" max="10"/>
    <col width="9" customWidth="1" min="11" max="11"/>
    <col width="9" customWidth="1" min="12" max="12"/>
    <col width="34" customWidth="1" min="13" max="13"/>
    <col width="9" customWidth="1" min="14" max="14"/>
    <col width="3" customWidth="1" min="15" max="15"/>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 width="3" customWidth="1" min="53" max="53"/>
    <col width="3" customWidth="1" min="54" max="54"/>
    <col width="3" customWidth="1" min="55" max="55"/>
    <col width="3" customWidth="1" min="56" max="56"/>
    <col width="3" customWidth="1" min="57" max="57"/>
    <col width="3" customWidth="1" min="58" max="58"/>
    <col width="3" customWidth="1" min="59" max="59"/>
    <col width="3" customWidth="1" min="60" max="60"/>
    <col width="3" customWidth="1" min="61" max="61"/>
    <col width="3" customWidth="1" min="62" max="62"/>
    <col width="3" customWidth="1" min="63" max="63"/>
  </cols>
  <sheetData>
    <row r="1" ht="24" customHeight="1">
      <c r="A1" s="16" t="inlineStr">
        <is>
          <t>① ロードマップ｜同棲 → 結婚 → 結婚式 → 妊活 → 出産 → 子1歳</t>
        </is>
      </c>
      <c r="D1" s="2" t="inlineStr">
        <is>
          <t>黄色のセルを書き換えると、日付とガントが自動で動きます</t>
        </is>
      </c>
    </row>
    <row r="2">
      <c r="N2" s="17" t="inlineStr">
        <is>
          <t>経過月 →</t>
        </is>
      </c>
      <c r="O2" s="18" t="n">
        <v>0</v>
      </c>
      <c r="P2" s="18" t="n">
        <v>1</v>
      </c>
      <c r="Q2" s="18" t="n">
        <v>2</v>
      </c>
      <c r="R2" s="18" t="n">
        <v>3</v>
      </c>
      <c r="S2" s="18" t="n">
        <v>4</v>
      </c>
      <c r="T2" s="18" t="n">
        <v>5</v>
      </c>
      <c r="U2" s="18" t="n">
        <v>6</v>
      </c>
      <c r="V2" s="18" t="n">
        <v>7</v>
      </c>
      <c r="W2" s="18" t="n">
        <v>8</v>
      </c>
      <c r="X2" s="18" t="n">
        <v>9</v>
      </c>
      <c r="Y2" s="18" t="n">
        <v>10</v>
      </c>
      <c r="Z2" s="18" t="n">
        <v>11</v>
      </c>
      <c r="AA2" s="18" t="n">
        <v>12</v>
      </c>
      <c r="AB2" s="18" t="n">
        <v>13</v>
      </c>
      <c r="AC2" s="18" t="n">
        <v>14</v>
      </c>
      <c r="AD2" s="18" t="n">
        <v>15</v>
      </c>
      <c r="AE2" s="18" t="n">
        <v>16</v>
      </c>
      <c r="AF2" s="18" t="n">
        <v>17</v>
      </c>
      <c r="AG2" s="18" t="n">
        <v>18</v>
      </c>
      <c r="AH2" s="18" t="n">
        <v>19</v>
      </c>
      <c r="AI2" s="18" t="n">
        <v>20</v>
      </c>
      <c r="AJ2" s="18" t="n">
        <v>21</v>
      </c>
      <c r="AK2" s="18" t="n">
        <v>22</v>
      </c>
      <c r="AL2" s="18" t="n">
        <v>23</v>
      </c>
      <c r="AM2" s="18" t="n">
        <v>24</v>
      </c>
      <c r="AN2" s="18" t="n">
        <v>25</v>
      </c>
      <c r="AO2" s="18" t="n">
        <v>26</v>
      </c>
      <c r="AP2" s="18" t="n">
        <v>27</v>
      </c>
      <c r="AQ2" s="18" t="n">
        <v>28</v>
      </c>
      <c r="AR2" s="18" t="n">
        <v>29</v>
      </c>
      <c r="AS2" s="18" t="n">
        <v>30</v>
      </c>
      <c r="AT2" s="18" t="n">
        <v>31</v>
      </c>
      <c r="AU2" s="18" t="n">
        <v>32</v>
      </c>
      <c r="AV2" s="18" t="n">
        <v>33</v>
      </c>
      <c r="AW2" s="18" t="n">
        <v>34</v>
      </c>
      <c r="AX2" s="18" t="n">
        <v>35</v>
      </c>
      <c r="AY2" s="18" t="n">
        <v>36</v>
      </c>
      <c r="AZ2" s="18" t="n">
        <v>37</v>
      </c>
      <c r="BA2" s="18" t="n">
        <v>38</v>
      </c>
      <c r="BB2" s="18" t="n">
        <v>39</v>
      </c>
      <c r="BC2" s="18" t="n">
        <v>40</v>
      </c>
      <c r="BD2" s="18" t="n">
        <v>41</v>
      </c>
      <c r="BE2" s="18" t="n">
        <v>42</v>
      </c>
      <c r="BF2" s="18" t="n">
        <v>43</v>
      </c>
      <c r="BG2" s="18" t="n">
        <v>44</v>
      </c>
      <c r="BH2" s="18" t="n">
        <v>45</v>
      </c>
      <c r="BI2" s="18" t="n">
        <v>46</v>
      </c>
      <c r="BJ2" s="18" t="n">
        <v>47</v>
      </c>
      <c r="BK2" s="18" t="n">
        <v>48</v>
      </c>
    </row>
    <row r="3" ht="34" customHeight="1">
      <c r="A3" s="19" t="inlineStr">
        <is>
          <t>ID</t>
        </is>
      </c>
      <c r="B3" s="19" t="inlineStr">
        <is>
          <t>フェーズ</t>
        </is>
      </c>
      <c r="C3" s="19" t="inlineStr">
        <is>
          <t>このフェーズのゴール（完了条件）</t>
        </is>
      </c>
      <c r="D3" s="19" t="inlineStr">
        <is>
          <t>期間
(月)</t>
        </is>
      </c>
      <c r="E3" s="19" t="inlineStr">
        <is>
          <t>開始
(経過月)</t>
        </is>
      </c>
      <c r="F3" s="19" t="inlineStr">
        <is>
          <t>終了
(経過月)</t>
        </is>
      </c>
      <c r="G3" s="19" t="inlineStr">
        <is>
          <t>予定開始</t>
        </is>
      </c>
      <c r="H3" s="19" t="inlineStr">
        <is>
          <t>予定完了</t>
        </is>
      </c>
      <c r="I3" s="19" t="inlineStr">
        <is>
          <t>主要マイルストーン</t>
        </is>
      </c>
      <c r="J3" s="19" t="inlineStr">
        <is>
          <t>このフェーズで決めること（意思決定）</t>
        </is>
      </c>
      <c r="K3" s="19" t="inlineStr">
        <is>
          <t>費用下限
(万円)</t>
        </is>
      </c>
      <c r="L3" s="19" t="inlineStr">
        <is>
          <t>費用上限
(万円)</t>
        </is>
      </c>
      <c r="M3" s="19" t="inlineStr">
        <is>
          <t>想定される最大リスク</t>
        </is>
      </c>
      <c r="N3" s="19" t="inlineStr">
        <is>
          <t>状態</t>
        </is>
      </c>
      <c r="O3" s="20">
        <f>EDATE('はじめに'!$C$5,O2)</f>
        <v/>
      </c>
      <c r="P3" s="20">
        <f>EDATE('はじめに'!$C$5,P2)</f>
        <v/>
      </c>
      <c r="Q3" s="20">
        <f>EDATE('はじめに'!$C$5,Q2)</f>
        <v/>
      </c>
      <c r="R3" s="20">
        <f>EDATE('はじめに'!$C$5,R2)</f>
        <v/>
      </c>
      <c r="S3" s="20">
        <f>EDATE('はじめに'!$C$5,S2)</f>
        <v/>
      </c>
      <c r="T3" s="20">
        <f>EDATE('はじめに'!$C$5,T2)</f>
        <v/>
      </c>
      <c r="U3" s="20">
        <f>EDATE('はじめに'!$C$5,U2)</f>
        <v/>
      </c>
      <c r="V3" s="20">
        <f>EDATE('はじめに'!$C$5,V2)</f>
        <v/>
      </c>
      <c r="W3" s="20">
        <f>EDATE('はじめに'!$C$5,W2)</f>
        <v/>
      </c>
      <c r="X3" s="20">
        <f>EDATE('はじめに'!$C$5,X2)</f>
        <v/>
      </c>
      <c r="Y3" s="20">
        <f>EDATE('はじめに'!$C$5,Y2)</f>
        <v/>
      </c>
      <c r="Z3" s="20">
        <f>EDATE('はじめに'!$C$5,Z2)</f>
        <v/>
      </c>
      <c r="AA3" s="20">
        <f>EDATE('はじめに'!$C$5,AA2)</f>
        <v/>
      </c>
      <c r="AB3" s="20">
        <f>EDATE('はじめに'!$C$5,AB2)</f>
        <v/>
      </c>
      <c r="AC3" s="20">
        <f>EDATE('はじめに'!$C$5,AC2)</f>
        <v/>
      </c>
      <c r="AD3" s="20">
        <f>EDATE('はじめに'!$C$5,AD2)</f>
        <v/>
      </c>
      <c r="AE3" s="20">
        <f>EDATE('はじめに'!$C$5,AE2)</f>
        <v/>
      </c>
      <c r="AF3" s="20">
        <f>EDATE('はじめに'!$C$5,AF2)</f>
        <v/>
      </c>
      <c r="AG3" s="20">
        <f>EDATE('はじめに'!$C$5,AG2)</f>
        <v/>
      </c>
      <c r="AH3" s="20">
        <f>EDATE('はじめに'!$C$5,AH2)</f>
        <v/>
      </c>
      <c r="AI3" s="20">
        <f>EDATE('はじめに'!$C$5,AI2)</f>
        <v/>
      </c>
      <c r="AJ3" s="20">
        <f>EDATE('はじめに'!$C$5,AJ2)</f>
        <v/>
      </c>
      <c r="AK3" s="20">
        <f>EDATE('はじめに'!$C$5,AK2)</f>
        <v/>
      </c>
      <c r="AL3" s="20">
        <f>EDATE('はじめに'!$C$5,AL2)</f>
        <v/>
      </c>
      <c r="AM3" s="20">
        <f>EDATE('はじめに'!$C$5,AM2)</f>
        <v/>
      </c>
      <c r="AN3" s="20">
        <f>EDATE('はじめに'!$C$5,AN2)</f>
        <v/>
      </c>
      <c r="AO3" s="20">
        <f>EDATE('はじめに'!$C$5,AO2)</f>
        <v/>
      </c>
      <c r="AP3" s="20">
        <f>EDATE('はじめに'!$C$5,AP2)</f>
        <v/>
      </c>
      <c r="AQ3" s="20">
        <f>EDATE('はじめに'!$C$5,AQ2)</f>
        <v/>
      </c>
      <c r="AR3" s="20">
        <f>EDATE('はじめに'!$C$5,AR2)</f>
        <v/>
      </c>
      <c r="AS3" s="20">
        <f>EDATE('はじめに'!$C$5,AS2)</f>
        <v/>
      </c>
      <c r="AT3" s="20">
        <f>EDATE('はじめに'!$C$5,AT2)</f>
        <v/>
      </c>
      <c r="AU3" s="20">
        <f>EDATE('はじめに'!$C$5,AU2)</f>
        <v/>
      </c>
      <c r="AV3" s="20">
        <f>EDATE('はじめに'!$C$5,AV2)</f>
        <v/>
      </c>
      <c r="AW3" s="20">
        <f>EDATE('はじめに'!$C$5,AW2)</f>
        <v/>
      </c>
      <c r="AX3" s="20">
        <f>EDATE('はじめに'!$C$5,AX2)</f>
        <v/>
      </c>
      <c r="AY3" s="20">
        <f>EDATE('はじめに'!$C$5,AY2)</f>
        <v/>
      </c>
      <c r="AZ3" s="20">
        <f>EDATE('はじめに'!$C$5,AZ2)</f>
        <v/>
      </c>
      <c r="BA3" s="20">
        <f>EDATE('はじめに'!$C$5,BA2)</f>
        <v/>
      </c>
      <c r="BB3" s="20">
        <f>EDATE('はじめに'!$C$5,BB2)</f>
        <v/>
      </c>
      <c r="BC3" s="20">
        <f>EDATE('はじめに'!$C$5,BC2)</f>
        <v/>
      </c>
      <c r="BD3" s="20">
        <f>EDATE('はじめに'!$C$5,BD2)</f>
        <v/>
      </c>
      <c r="BE3" s="20">
        <f>EDATE('はじめに'!$C$5,BE2)</f>
        <v/>
      </c>
      <c r="BF3" s="20">
        <f>EDATE('はじめに'!$C$5,BF2)</f>
        <v/>
      </c>
      <c r="BG3" s="20">
        <f>EDATE('はじめに'!$C$5,BG2)</f>
        <v/>
      </c>
      <c r="BH3" s="20">
        <f>EDATE('はじめに'!$C$5,BH2)</f>
        <v/>
      </c>
      <c r="BI3" s="20">
        <f>EDATE('はじめに'!$C$5,BI2)</f>
        <v/>
      </c>
      <c r="BJ3" s="20">
        <f>EDATE('はじめに'!$C$5,BJ2)</f>
        <v/>
      </c>
      <c r="BK3" s="20">
        <f>EDATE('はじめに'!$C$5,BK2)</f>
        <v/>
      </c>
    </row>
    <row r="4" ht="58" customHeight="1">
      <c r="A4" s="21" t="inlineStr">
        <is>
          <t>P1</t>
        </is>
      </c>
      <c r="B4" s="22" t="inlineStr">
        <is>
          <t>同棲の準備</t>
        </is>
      </c>
      <c r="C4" s="23" t="inlineStr">
        <is>
          <t>2人が同じ家に住み、生活費のルールが決まっている状態</t>
        </is>
      </c>
      <c r="D4" s="24" t="n">
        <v>3</v>
      </c>
      <c r="E4" s="24" t="n">
        <v>0</v>
      </c>
      <c r="F4" s="25">
        <f>E4+D4-1</f>
        <v/>
      </c>
      <c r="G4" s="26">
        <f>EDATE('はじめに'!$C$5,E4)</f>
        <v/>
      </c>
      <c r="H4" s="26">
        <f>EDATE('はじめに'!$C$5,F4)</f>
        <v/>
      </c>
      <c r="I4" s="23" t="inlineStr">
        <is>
          <t>物件契約／引越し／住民票異動</t>
        </is>
      </c>
      <c r="J4" s="23" t="inlineStr">
        <is>
          <t>どのエリアに住むか（将来の保活を見越すか）／生活費の分担方式／同棲の期限（いつまでに結婚するか）</t>
        </is>
      </c>
      <c r="K4" s="24" t="n">
        <v>40</v>
      </c>
      <c r="L4" s="24" t="n">
        <v>90</v>
      </c>
      <c r="M4" s="23" t="inlineStr">
        <is>
          <t>エリア選定を「今の通勤」だけで決めて、出産後に住み替えが必要になる</t>
        </is>
      </c>
      <c r="N4" s="27" t="inlineStr">
        <is>
          <t>未着手</t>
        </is>
      </c>
    </row>
    <row r="5" ht="58" customHeight="1">
      <c r="A5" s="21" t="inlineStr">
        <is>
          <t>P2</t>
        </is>
      </c>
      <c r="B5" s="22" t="inlineStr">
        <is>
          <t>同棲生活の基盤づくり</t>
        </is>
      </c>
      <c r="C5" s="23" t="inlineStr">
        <is>
          <t>家事・お金・話し合いの型ができ、貯蓄が回り始めている状態</t>
        </is>
      </c>
      <c r="D5" s="24" t="n">
        <v>6</v>
      </c>
      <c r="E5" s="24" t="n">
        <v>3</v>
      </c>
      <c r="F5" s="25">
        <f>E5+D5-1</f>
        <v/>
      </c>
      <c r="G5" s="26">
        <f>EDATE('はじめに'!$C$5,E5)</f>
        <v/>
      </c>
      <c r="H5" s="26">
        <f>EDATE('はじめに'!$C$5,F5)</f>
        <v/>
      </c>
      <c r="I5" s="23" t="inlineStr">
        <is>
          <t>家計の可視化／貯蓄目標の設定／週次ミーティングの定着</t>
        </is>
      </c>
      <c r="J5" s="23" t="inlineStr">
        <is>
          <t>共通口座に毎月いくら入れるか／各自の自由に使える額／家事の分担比率</t>
        </is>
      </c>
      <c r="K5" s="24" t="n">
        <v>0</v>
      </c>
      <c r="L5" s="24" t="n">
        <v>10</v>
      </c>
      <c r="M5" s="23" t="inlineStr">
        <is>
          <t>家事分担の不公平感が言語化されないまま蓄積する</t>
        </is>
      </c>
      <c r="N5" s="27" t="inlineStr">
        <is>
          <t>未着手</t>
        </is>
      </c>
    </row>
    <row r="6" ht="58" customHeight="1">
      <c r="A6" s="21" t="inlineStr">
        <is>
          <t>P3</t>
        </is>
      </c>
      <c r="B6" s="22" t="inlineStr">
        <is>
          <t>結婚の意思決定・両家</t>
        </is>
      </c>
      <c r="C6" s="23" t="inlineStr">
        <is>
          <t>両家の合意が取れ、入籍日と式の方針が決まっている状態</t>
        </is>
      </c>
      <c r="D6" s="24" t="n">
        <v>3</v>
      </c>
      <c r="E6" s="24" t="n">
        <v>9</v>
      </c>
      <c r="F6" s="25">
        <f>E6+D6-1</f>
        <v/>
      </c>
      <c r="G6" s="26">
        <f>EDATE('はじめに'!$C$5,E6)</f>
        <v/>
      </c>
      <c r="H6" s="26">
        <f>EDATE('はじめに'!$C$5,F6)</f>
        <v/>
      </c>
      <c r="I6" s="23" t="inlineStr">
        <is>
          <t>プロポーズ／両家挨拶／顔合わせ or 結納</t>
        </is>
      </c>
      <c r="J6" s="23" t="inlineStr">
        <is>
          <t>結婚式をやるか（挙式のみ／披露宴／家族婚／フォトのみ／ナシ婚）／姓をどちらにするか／婚約指輪の要否と予算</t>
        </is>
      </c>
      <c r="K6" s="24" t="n">
        <v>20</v>
      </c>
      <c r="L6" s="24" t="n">
        <v>120</v>
      </c>
      <c r="M6" s="23" t="inlineStr">
        <is>
          <t>式の規模と費用、両家の慣習の違いで対立する</t>
        </is>
      </c>
      <c r="N6" s="27" t="inlineStr">
        <is>
          <t>未着手</t>
        </is>
      </c>
    </row>
    <row r="7" ht="58" customHeight="1">
      <c r="A7" s="21" t="inlineStr">
        <is>
          <t>P4</t>
        </is>
      </c>
      <c r="B7" s="22" t="inlineStr">
        <is>
          <t>入籍・行政手続き</t>
        </is>
      </c>
      <c r="C7" s="23" t="inlineStr">
        <is>
          <t>婚姻届が受理され、全ての名義変更が完了した状態</t>
        </is>
      </c>
      <c r="D7" s="24" t="n">
        <v>2</v>
      </c>
      <c r="E7" s="24" t="n">
        <v>12</v>
      </c>
      <c r="F7" s="25">
        <f>E7+D7-1</f>
        <v/>
      </c>
      <c r="G7" s="26">
        <f>EDATE('はじめに'!$C$5,E7)</f>
        <v/>
      </c>
      <c r="H7" s="26">
        <f>EDATE('はじめに'!$C$5,F7)</f>
        <v/>
      </c>
      <c r="I7" s="23" t="inlineStr">
        <is>
          <t>婚姻届提出／各種名義変更の完了</t>
        </is>
      </c>
      <c r="J7" s="23" t="inlineStr">
        <is>
          <t>入籍日／世帯の持ち方／保険の受取人／旧姓の通称使用をするか</t>
        </is>
      </c>
      <c r="K7" s="24" t="n">
        <v>3</v>
      </c>
      <c r="L7" s="24" t="n">
        <v>10</v>
      </c>
      <c r="M7" s="23" t="inlineStr">
        <is>
          <t>改姓した側に名義変更の実務が全部乗る</t>
        </is>
      </c>
      <c r="N7" s="27" t="inlineStr">
        <is>
          <t>未着手</t>
        </is>
      </c>
    </row>
    <row r="8" ht="58" customHeight="1">
      <c r="A8" s="21" t="inlineStr">
        <is>
          <t>P5</t>
        </is>
      </c>
      <c r="B8" s="22" t="inlineStr">
        <is>
          <t>結婚式の準備</t>
        </is>
      </c>
      <c r="C8" s="23" t="inlineStr">
        <is>
          <t>会場・衣装・招待客・演出が確定し、支払い計画がある状態</t>
        </is>
      </c>
      <c r="D8" s="24" t="n">
        <v>9</v>
      </c>
      <c r="E8" s="24" t="n">
        <v>12</v>
      </c>
      <c r="F8" s="25">
        <f>E8+D8-1</f>
        <v/>
      </c>
      <c r="G8" s="26">
        <f>EDATE('はじめに'!$C$5,E8)</f>
        <v/>
      </c>
      <c r="H8" s="26">
        <f>EDATE('はじめに'!$C$5,F8)</f>
        <v/>
      </c>
      <c r="I8" s="23" t="inlineStr">
        <is>
          <t>会場成約／招待状発送／最終打ち合わせ</t>
        </is>
      </c>
      <c r="J8" s="23" t="inlineStr">
        <is>
          <t>会場（持ち込み料・見積の増減）／招待客リスト／衣装は提携か持ち込みか／写真映像を外注するか</t>
        </is>
      </c>
      <c r="K8" s="24" t="n">
        <v>150</v>
      </c>
      <c r="L8" s="24" t="n">
        <v>400</v>
      </c>
      <c r="M8" s="23" t="inlineStr">
        <is>
          <t>初回見積から100万円以上増える／準備が片方に偏る</t>
        </is>
      </c>
      <c r="N8" s="27" t="inlineStr">
        <is>
          <t>未着手</t>
        </is>
      </c>
    </row>
    <row r="9" ht="58" customHeight="1">
      <c r="A9" s="21" t="inlineStr">
        <is>
          <t>P6</t>
        </is>
      </c>
      <c r="B9" s="22" t="inlineStr">
        <is>
          <t>結婚式・新婚旅行</t>
        </is>
      </c>
      <c r="C9" s="23" t="inlineStr">
        <is>
          <t>式が終わり、内祝いと精算まで完了した状態</t>
        </is>
      </c>
      <c r="D9" s="24" t="n">
        <v>1</v>
      </c>
      <c r="E9" s="24" t="n">
        <v>21</v>
      </c>
      <c r="F9" s="25">
        <f>E9+D9-1</f>
        <v/>
      </c>
      <c r="G9" s="26">
        <f>EDATE('はじめに'!$C$5,E9)</f>
        <v/>
      </c>
      <c r="H9" s="26">
        <f>EDATE('はじめに'!$C$5,F9)</f>
        <v/>
      </c>
      <c r="I9" s="23" t="inlineStr">
        <is>
          <t>挙式・披露宴／新婚旅行／お礼と精算</t>
        </is>
      </c>
      <c r="J9" s="23" t="inlineStr">
        <is>
          <t>新婚旅行の時期（妊活とどちらを先にするか）／渡航先（感染症リスク地域を避ける）</t>
        </is>
      </c>
      <c r="K9" s="24" t="n">
        <v>40</v>
      </c>
      <c r="L9" s="24" t="n">
        <v>120</v>
      </c>
      <c r="M9" s="23" t="inlineStr">
        <is>
          <t>旅行と妊活・妊娠が重なり渡航できない</t>
        </is>
      </c>
      <c r="N9" s="27" t="inlineStr">
        <is>
          <t>未着手</t>
        </is>
      </c>
    </row>
    <row r="10" ht="58" customHeight="1">
      <c r="A10" s="21" t="inlineStr">
        <is>
          <t>P7</t>
        </is>
      </c>
      <c r="B10" s="22" t="inlineStr">
        <is>
          <t>妊活の準備</t>
        </is>
      </c>
      <c r="C10" s="23" t="inlineStr">
        <is>
          <t>2人とも検査を終え、妊娠しやすい体と生活の準備ができた状態</t>
        </is>
      </c>
      <c r="D10" s="24" t="n">
        <v>4</v>
      </c>
      <c r="E10" s="24" t="n">
        <v>18</v>
      </c>
      <c r="F10" s="25">
        <f>E10+D10-1</f>
        <v/>
      </c>
      <c r="G10" s="26">
        <f>EDATE('はじめに'!$C$5,E10)</f>
        <v/>
      </c>
      <c r="H10" s="26">
        <f>EDATE('はじめに'!$C$5,F10)</f>
        <v/>
      </c>
      <c r="I10" s="23" t="inlineStr">
        <is>
          <t>ブライダルチェック／精液検査／風疹抗体／葉酸開始</t>
        </is>
      </c>
      <c r="J10" s="23" t="inlineStr">
        <is>
          <t>検査をどこで受けるか／何ヶ月で受診に切り替えるか／不妊治療をどこまでやるか（費用と期限）</t>
        </is>
      </c>
      <c r="K10" s="24" t="n">
        <v>3</v>
      </c>
      <c r="L10" s="24" t="n">
        <v>15</v>
      </c>
      <c r="M10" s="23" t="inlineStr">
        <is>
          <t>男性側が検査を受けず、当事者意識に差が出る</t>
        </is>
      </c>
      <c r="N10" s="27" t="inlineStr">
        <is>
          <t>未着手</t>
        </is>
      </c>
    </row>
    <row r="11" ht="58" customHeight="1">
      <c r="A11" s="21" t="inlineStr">
        <is>
          <t>P8</t>
        </is>
      </c>
      <c r="B11" s="22" t="inlineStr">
        <is>
          <t>妊活</t>
        </is>
      </c>
      <c r="C11" s="23" t="inlineStr">
        <is>
          <t>妊娠が判明している状態</t>
        </is>
      </c>
      <c r="D11" s="24" t="n">
        <v>6</v>
      </c>
      <c r="E11" s="24" t="n">
        <v>22</v>
      </c>
      <c r="F11" s="25">
        <f>E11+D11-1</f>
        <v/>
      </c>
      <c r="G11" s="26">
        <f>EDATE('はじめに'!$C$5,E11)</f>
        <v/>
      </c>
      <c r="H11" s="26">
        <f>EDATE('はじめに'!$C$5,F11)</f>
        <v/>
      </c>
      <c r="I11" s="23" t="inlineStr">
        <is>
          <t>タイミング法／必要ならクリニック受診・AIH・IVF</t>
        </is>
      </c>
      <c r="J11" s="23" t="inlineStr">
        <is>
          <t>クリニックの選定／人工授精・体外受精へ進む条件／治療費の上限と「やめどき」</t>
        </is>
      </c>
      <c r="K11" s="24" t="n">
        <v>0</v>
      </c>
      <c r="L11" s="24" t="n">
        <v>200</v>
      </c>
      <c r="M11" s="23" t="inlineStr">
        <is>
          <t>義務化した性交渉・費用・やめどきで関係が消耗する</t>
        </is>
      </c>
      <c r="N11" s="27" t="inlineStr">
        <is>
          <t>未着手</t>
        </is>
      </c>
    </row>
    <row r="12" ht="58" customHeight="1">
      <c r="A12" s="21" t="inlineStr">
        <is>
          <t>P9</t>
        </is>
      </c>
      <c r="B12" s="22" t="inlineStr">
        <is>
          <t>妊娠初期〜中期</t>
        </is>
      </c>
      <c r="C12" s="23" t="inlineStr">
        <is>
          <t>母子手帳を取得し、産院と出生前検査の方針が決まっている状態</t>
        </is>
      </c>
      <c r="D12" s="24" t="n">
        <v>6</v>
      </c>
      <c r="E12" s="24" t="n">
        <v>28</v>
      </c>
      <c r="F12" s="25">
        <f>E12+D12-1</f>
        <v/>
      </c>
      <c r="G12" s="26">
        <f>EDATE('はじめに'!$C$5,E12)</f>
        <v/>
      </c>
      <c r="H12" s="26">
        <f>EDATE('はじめに'!$C$5,F12)</f>
        <v/>
      </c>
      <c r="I12" s="23" t="inlineStr">
        <is>
          <t>心拍確認／母子手帳／分娩予約／両親学級</t>
        </is>
      </c>
      <c r="J12" s="23" t="inlineStr">
        <is>
          <t>産院（総合病院／クリニック／助産院・無痛の有無）／出生前検査を受けるか／里帰りするか／保活を見越した引っ越しの要否</t>
        </is>
      </c>
      <c r="K12" s="24" t="n">
        <v>5</v>
      </c>
      <c r="L12" s="24" t="n">
        <v>25</v>
      </c>
      <c r="M12" s="23" t="inlineStr">
        <is>
          <t>出生前検査の是非で価値観が衝突する</t>
        </is>
      </c>
      <c r="N12" s="27" t="inlineStr">
        <is>
          <t>未着手</t>
        </is>
      </c>
    </row>
    <row r="13" ht="58" customHeight="1">
      <c r="A13" s="21" t="inlineStr">
        <is>
          <t>P10</t>
        </is>
      </c>
      <c r="B13" s="22" t="inlineStr">
        <is>
          <t>妊娠後期・出産準備</t>
        </is>
      </c>
      <c r="C13" s="23" t="inlineStr">
        <is>
          <t>入院バッグ・育児用品・産後の体制が全て整っている状態</t>
        </is>
      </c>
      <c r="D13" s="24" t="n">
        <v>3</v>
      </c>
      <c r="E13" s="24" t="n">
        <v>34</v>
      </c>
      <c r="F13" s="25">
        <f>E13+D13-1</f>
        <v/>
      </c>
      <c r="G13" s="26">
        <f>EDATE('はじめに'!$C$5,E13)</f>
        <v/>
      </c>
      <c r="H13" s="26">
        <f>EDATE('はじめに'!$C$5,F13)</f>
        <v/>
      </c>
      <c r="I13" s="23" t="inlineStr">
        <is>
          <t>RSVワクチン／入院バッグ／育児用品購入／産休開始</t>
        </is>
      </c>
      <c r="J13" s="23" t="inlineStr">
        <is>
          <t>ベビーカー・チャイルドシート・抱っこ紐のメーカー／おむつ・ミルクの銘柄／産後の家事外注／父の育休の取り方</t>
        </is>
      </c>
      <c r="K13" s="24" t="n">
        <v>20</v>
      </c>
      <c r="L13" s="24" t="n">
        <v>50</v>
      </c>
      <c r="M13" s="23" t="inlineStr">
        <is>
          <t>産後の生活設計をせずに出産日を迎える</t>
        </is>
      </c>
      <c r="N13" s="27" t="inlineStr">
        <is>
          <t>未着手</t>
        </is>
      </c>
    </row>
    <row r="14" ht="58" customHeight="1">
      <c r="A14" s="21" t="inlineStr">
        <is>
          <t>P11</t>
        </is>
      </c>
      <c r="B14" s="22" t="inlineStr">
        <is>
          <t>出産・産褥期</t>
        </is>
      </c>
      <c r="C14" s="23" t="inlineStr">
        <is>
          <t>行政手続きが全て終わり、母体が回復に向かっている状態</t>
        </is>
      </c>
      <c r="D14" s="24" t="n">
        <v>2</v>
      </c>
      <c r="E14" s="24" t="n">
        <v>37</v>
      </c>
      <c r="F14" s="25">
        <f>E14+D14-1</f>
        <v/>
      </c>
      <c r="G14" s="26">
        <f>EDATE('はじめに'!$C$5,E14)</f>
        <v/>
      </c>
      <c r="H14" s="26">
        <f>EDATE('はじめに'!$C$5,F14)</f>
        <v/>
      </c>
      <c r="I14" s="23" t="inlineStr">
        <is>
          <t>出産／出生届・児童手当・保険証／新生児訪問</t>
        </is>
      </c>
      <c r="J14" s="23" t="inlineStr">
        <is>
          <t>誰がどの手続きをやるか／義実家の来訪ルール／夜間対応の分担</t>
        </is>
      </c>
      <c r="K14" s="24" t="n">
        <v>10</v>
      </c>
      <c r="L14" s="24" t="n">
        <v>40</v>
      </c>
      <c r="M14" s="23" t="inlineStr">
        <is>
          <t>産後の身体的ダメージが理解されず、母が休めない</t>
        </is>
      </c>
      <c r="N14" s="27" t="inlineStr">
        <is>
          <t>未着手</t>
        </is>
      </c>
    </row>
    <row r="15" ht="58" customHeight="1">
      <c r="A15" s="21" t="inlineStr">
        <is>
          <t>P12</t>
        </is>
      </c>
      <c r="B15" s="22" t="inlineStr">
        <is>
          <t>育児 生後2〜6ヶ月</t>
        </is>
      </c>
      <c r="C15" s="23" t="inlineStr">
        <is>
          <t>予防接種が予定通り進み、離乳食が始まっている状態</t>
        </is>
      </c>
      <c r="D15" s="24" t="n">
        <v>4</v>
      </c>
      <c r="E15" s="24" t="n">
        <v>39</v>
      </c>
      <c r="F15" s="25">
        <f>E15+D15-1</f>
        <v/>
      </c>
      <c r="G15" s="26">
        <f>EDATE('はじめに'!$C$5,E15)</f>
        <v/>
      </c>
      <c r="H15" s="26">
        <f>EDATE('はじめに'!$C$5,F15)</f>
        <v/>
      </c>
      <c r="I15" s="23" t="inlineStr">
        <is>
          <t>1ヶ月健診／予防接種デビュー／3-4ヶ月健診／離乳食開始</t>
        </is>
      </c>
      <c r="J15" s="23" t="inlineStr">
        <is>
          <t>かかりつけ小児科／離乳食のメーカーと進め方／ハイチェアなどの選定／復職の時期</t>
        </is>
      </c>
      <c r="K15" s="24" t="n">
        <v>10</v>
      </c>
      <c r="L15" s="24" t="n">
        <v>25</v>
      </c>
      <c r="M15" s="23" t="inlineStr">
        <is>
          <t>睡眠不足による攻撃性と、産後うつの見落とし</t>
        </is>
      </c>
      <c r="N15" s="27" t="inlineStr">
        <is>
          <t>未着手</t>
        </is>
      </c>
    </row>
    <row r="16" ht="58" customHeight="1">
      <c r="A16" s="21" t="inlineStr">
        <is>
          <t>P13</t>
        </is>
      </c>
      <c r="B16" s="22" t="inlineStr">
        <is>
          <t>育児 生後6〜12ヶ月</t>
        </is>
      </c>
      <c r="C16" s="23" t="inlineStr">
        <is>
          <t>保育園が決まり、復職後の生活が回っている状態</t>
        </is>
      </c>
      <c r="D16" s="24" t="n">
        <v>6</v>
      </c>
      <c r="E16" s="24" t="n">
        <v>43</v>
      </c>
      <c r="F16" s="25">
        <f>E16+D16-1</f>
        <v/>
      </c>
      <c r="G16" s="26">
        <f>EDATE('はじめに'!$C$5,E16)</f>
        <v/>
      </c>
      <c r="H16" s="26">
        <f>EDATE('はじめに'!$C$5,F16)</f>
        <v/>
      </c>
      <c r="I16" s="23" t="inlineStr">
        <is>
          <t>保育園申込／9-10ヶ月健診／慣らし保育／1歳／復職</t>
        </is>
      </c>
      <c r="J16" s="23" t="inlineStr">
        <is>
          <t>認可・認可外の併願戦略／育休を延長するか／復職後の家事育児の再分担／教育資金の置き場所</t>
        </is>
      </c>
      <c r="K16" s="24" t="n">
        <v>10</v>
      </c>
      <c r="L16" s="24" t="n">
        <v>30</v>
      </c>
      <c r="M16" s="23" t="inlineStr">
        <is>
          <t>保活と復職後の負担配分が片方に集中する</t>
        </is>
      </c>
      <c r="N16" s="27" t="inlineStr">
        <is>
          <t>未着手</t>
        </is>
      </c>
    </row>
    <row r="17">
      <c r="A17" s="28" t="n"/>
      <c r="B17" s="29" t="inlineStr">
        <is>
          <t>合計</t>
        </is>
      </c>
      <c r="C17" s="28" t="n"/>
      <c r="D17" s="28" t="n"/>
      <c r="E17" s="28" t="n"/>
      <c r="F17" s="28" t="n"/>
      <c r="G17" s="28" t="n"/>
      <c r="H17" s="28" t="n"/>
      <c r="I17" s="28" t="n"/>
      <c r="J17" s="28" t="n"/>
      <c r="K17" s="30">
        <f>SUM(K4:K16)</f>
        <v/>
      </c>
      <c r="L17" s="30">
        <f>SUM(L4:L16)</f>
        <v/>
      </c>
      <c r="M17" s="31" t="inlineStr">
        <is>
          <t>※ ご祝儀・親からの援助・各種給付金は差し引く前の総額</t>
        </is>
      </c>
      <c r="N17" s="28" t="n"/>
    </row>
  </sheetData>
  <autoFilter ref="A3:N16"/>
  <conditionalFormatting sqref="O4:BK11">
    <cfRule type="expression" priority="1" dxfId="0" stopIfTrue="1">
      <formula>AND(O$2&gt;=$E4,O$2&lt;=$F4)</formula>
    </cfRule>
  </conditionalFormatting>
  <conditionalFormatting sqref="O4:BK16">
    <cfRule type="expression" priority="2" dxfId="1" stopIfTrue="1">
      <formula>AND(O$2&gt;=$E4,O$2&lt;=$F4)</formula>
    </cfRule>
  </conditionalFormatting>
  <conditionalFormatting sqref="N4:N16">
    <cfRule type="cellIs" priority="3" operator="equal" dxfId="2">
      <formula>"完了"</formula>
    </cfRule>
    <cfRule type="cellIs" priority="4" operator="equal" dxfId="3">
      <formula>"進行中"</formula>
    </cfRule>
    <cfRule type="cellIs" priority="5" operator="equal" dxfId="4">
      <formula>"対象外"</formula>
    </cfRule>
  </conditionalFormatting>
  <dataValidations count="1">
    <dataValidation sqref="N4:N16" showDropDown="0" showInputMessage="0" showErrorMessage="0" allowBlank="1" type="list">
      <formula1>"未着手,進行中,完了,対象外"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80"/>
  <sheetViews>
    <sheetView zoomScale="85"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9" customWidth="1" min="3" max="3"/>
    <col width="34" customWidth="1" min="4" max="4"/>
    <col width="26" customWidth="1" min="5" max="5"/>
    <col width="46" customWidth="1" min="6" max="6"/>
    <col width="52" customWidth="1" min="7" max="7"/>
    <col width="7" customWidth="1" min="8" max="8"/>
    <col width="10" customWidth="1" min="9" max="9"/>
    <col width="7" customWidth="1" min="10" max="10"/>
    <col width="12" customWidth="1" min="11" max="11"/>
    <col width="15" customWidth="1" min="12" max="12"/>
    <col width="9" customWidth="1" min="13" max="13"/>
    <col width="9" customWidth="1" min="14" max="14"/>
    <col width="20" customWidth="1" min="15" max="15"/>
  </cols>
  <sheetData>
    <row r="1" ht="24" customHeight="1">
      <c r="A1" s="16" t="inlineStr">
        <is>
          <t>② WBS｜想定される論点まで分解したタスク一覧</t>
        </is>
      </c>
      <c r="D1" s="2" t="inlineStr">
        <is>
          <t>「論点」「選択肢・候補」「判断軸」の3列が、実際に迷う場所です</t>
        </is>
      </c>
    </row>
    <row r="2" ht="34" customHeight="1">
      <c r="A2" s="19" t="inlineStr">
        <is>
          <t>WBS-ID</t>
        </is>
      </c>
      <c r="B2" s="19" t="inlineStr">
        <is>
          <t>フェーズ</t>
        </is>
      </c>
      <c r="C2" s="19" t="inlineStr">
        <is>
          <t>中分類</t>
        </is>
      </c>
      <c r="D2" s="19" t="inlineStr">
        <is>
          <t>タスク</t>
        </is>
      </c>
      <c r="E2" s="19" t="inlineStr">
        <is>
          <t>論点・決めること</t>
        </is>
      </c>
      <c r="F2" s="19" t="inlineStr">
        <is>
          <t>選択肢・候補</t>
        </is>
      </c>
      <c r="G2" s="19" t="inlineStr">
        <is>
          <t>判断軸・注意点</t>
        </is>
      </c>
      <c r="H2" s="19" t="inlineStr">
        <is>
          <t>経過月</t>
        </is>
      </c>
      <c r="I2" s="19" t="inlineStr">
        <is>
          <t>目安時期</t>
        </is>
      </c>
      <c r="J2" s="19" t="inlineStr">
        <is>
          <t>区分</t>
        </is>
      </c>
      <c r="K2" s="19" t="inlineStr">
        <is>
          <t>担当</t>
        </is>
      </c>
      <c r="L2" s="19" t="inlineStr">
        <is>
          <t>費用目安</t>
        </is>
      </c>
      <c r="M2" s="19" t="inlineStr">
        <is>
          <t>先行</t>
        </is>
      </c>
      <c r="N2" s="19" t="inlineStr">
        <is>
          <t>状態</t>
        </is>
      </c>
      <c r="O2" s="19" t="inlineStr">
        <is>
          <t>メモ</t>
        </is>
      </c>
    </row>
    <row r="3" ht="62" customHeight="1">
      <c r="A3" s="32" t="inlineStr">
        <is>
          <t>P1-01</t>
        </is>
      </c>
      <c r="B3" s="32" t="inlineStr">
        <is>
          <t>P1</t>
        </is>
      </c>
      <c r="C3" s="33" t="inlineStr">
        <is>
          <t>方針</t>
        </is>
      </c>
      <c r="D3" s="34" t="inlineStr">
        <is>
          <t>同棲の目的と期限を合意する</t>
        </is>
      </c>
      <c r="E3" s="35" t="inlineStr">
        <is>
          <t>何のために同棲するのか／いつまでに結婚するか</t>
        </is>
      </c>
      <c r="F3" s="35" t="inlineStr">
        <is>
          <t>お試し期間として／結婚前提で生活費を抑える／すでに結婚が決まっている</t>
        </is>
      </c>
      <c r="G3" s="35" t="inlineStr">
        <is>
          <t>期限を切らない同棲は「なんとなく長期化」しやすい。1〜2年で結論を出す前提にする</t>
        </is>
      </c>
      <c r="H3" s="32" t="n">
        <v>0</v>
      </c>
      <c r="I3" s="36">
        <f>EDATE('はじめに'!$C$5,H3)</f>
        <v/>
      </c>
      <c r="J3" s="32" t="inlineStr">
        <is>
          <t>推奨</t>
        </is>
      </c>
      <c r="K3" s="32" t="inlineStr">
        <is>
          <t>2人</t>
        </is>
      </c>
      <c r="L3" s="35" t="inlineStr">
        <is>
          <t>-</t>
        </is>
      </c>
      <c r="M3" s="32" t="inlineStr"/>
      <c r="N3" s="37" t="inlineStr">
        <is>
          <t>未着手</t>
        </is>
      </c>
      <c r="O3" s="27" t="inlineStr"/>
    </row>
    <row r="4" ht="62" customHeight="1">
      <c r="A4" s="38" t="inlineStr">
        <is>
          <t>P1-02</t>
        </is>
      </c>
      <c r="B4" s="38" t="inlineStr">
        <is>
          <t>P1</t>
        </is>
      </c>
      <c r="C4" s="21" t="inlineStr">
        <is>
          <t>住まい</t>
        </is>
      </c>
      <c r="D4" s="39" t="inlineStr">
        <is>
          <t>住むエリアを決める（将来の保活を見越すか判断する）</t>
        </is>
      </c>
      <c r="E4" s="23" t="inlineStr">
        <is>
          <t>今の通勤で選ぶか、子どもができた後まで見越して選ぶか</t>
        </is>
      </c>
      <c r="F4" s="23" t="inlineStr">
        <is>
          <t>①都心の賃貸（狭いが通勤が楽） ②郊外で広め（保育園に入りやすい傾向） ③どちらかの実家の近く（応援が呼べる）</t>
        </is>
      </c>
      <c r="G4" s="23" t="inlineStr">
        <is>
          <t>認可保育園の待機児童数と内定最低指数／0歳・1歳の定員／子ども医療費助成の対象年齢／保育料の自治体独自減免／2人の通勤時間／実家までのドアtoドア時間／小児科と病児保育の有無／ハザードマップ</t>
        </is>
      </c>
      <c r="H4" s="38" t="n">
        <v>0</v>
      </c>
      <c r="I4" s="40">
        <f>EDATE('はじめに'!$C$5,H4)</f>
        <v/>
      </c>
      <c r="J4" s="38" t="inlineStr">
        <is>
          <t>推奨</t>
        </is>
      </c>
      <c r="K4" s="38" t="inlineStr">
        <is>
          <t>2人</t>
        </is>
      </c>
      <c r="L4" s="23" t="inlineStr">
        <is>
          <t>-</t>
        </is>
      </c>
      <c r="M4" s="38" t="inlineStr">
        <is>
          <t>P1-01</t>
        </is>
      </c>
      <c r="N4" s="37" t="inlineStr">
        <is>
          <t>未着手</t>
        </is>
      </c>
      <c r="O4" s="27" t="inlineStr"/>
    </row>
    <row r="5" ht="62" customHeight="1">
      <c r="A5" s="32" t="inlineStr">
        <is>
          <t>P1-03</t>
        </is>
      </c>
      <c r="B5" s="32" t="inlineStr">
        <is>
          <t>P1</t>
        </is>
      </c>
      <c r="C5" s="33" t="inlineStr">
        <is>
          <t>住まい</t>
        </is>
      </c>
      <c r="D5" s="34" t="inlineStr">
        <is>
          <t>物件の条件を確定する</t>
        </is>
      </c>
      <c r="E5" s="35" t="inlineStr">
        <is>
          <t>子どもが生まれた後も住み続けられる物件かどうか</t>
        </is>
      </c>
      <c r="F5" s="35" t="inlineStr">
        <is>
          <t>1LDK（同棲のみ）／2LDK以上（出産後も住める）／分譲賃貸</t>
        </is>
      </c>
      <c r="G5" s="35" t="inlineStr">
        <is>
          <t>ベビーカーが通る玄関幅とエレベーターの有無／オートロック／階数（ベビーカーを担げるか）／更新料／2年以内に引っ越す前提なら初期費用を抑える</t>
        </is>
      </c>
      <c r="H5" s="32" t="n">
        <v>0</v>
      </c>
      <c r="I5" s="36">
        <f>EDATE('はじめに'!$C$5,H5)</f>
        <v/>
      </c>
      <c r="J5" s="32" t="inlineStr">
        <is>
          <t>推奨</t>
        </is>
      </c>
      <c r="K5" s="32" t="inlineStr">
        <is>
          <t>2人</t>
        </is>
      </c>
      <c r="L5" s="35" t="inlineStr">
        <is>
          <t>-</t>
        </is>
      </c>
      <c r="M5" s="32" t="inlineStr">
        <is>
          <t>P1-02</t>
        </is>
      </c>
      <c r="N5" s="37" t="inlineStr">
        <is>
          <t>未着手</t>
        </is>
      </c>
      <c r="O5" s="27" t="inlineStr"/>
    </row>
    <row r="6" ht="62" customHeight="1">
      <c r="A6" s="38" t="inlineStr">
        <is>
          <t>P1-04</t>
        </is>
      </c>
      <c r="B6" s="38" t="inlineStr">
        <is>
          <t>P1</t>
        </is>
      </c>
      <c r="C6" s="21" t="inlineStr">
        <is>
          <t>お金</t>
        </is>
      </c>
      <c r="D6" s="39" t="inlineStr">
        <is>
          <t>初期費用の分担ルールを決める</t>
        </is>
      </c>
      <c r="E6" s="23" t="inlineStr">
        <is>
          <t>敷金礼金・引越し・家具家電を誰がいくら出すか</t>
        </is>
      </c>
      <c r="F6" s="23" t="inlineStr">
        <is>
          <t>完全折半／収入比例／費目別（家賃は多い方・食費は少ない方）</t>
        </is>
      </c>
      <c r="G6" s="23" t="inlineStr">
        <is>
          <t>解消したときに揉めないよう、高額家具の名義と持ち出しルールまで決めておく</t>
        </is>
      </c>
      <c r="H6" s="38" t="n">
        <v>0</v>
      </c>
      <c r="I6" s="40">
        <f>EDATE('はじめに'!$C$5,H6)</f>
        <v/>
      </c>
      <c r="J6" s="38" t="inlineStr">
        <is>
          <t>推奨</t>
        </is>
      </c>
      <c r="K6" s="38" t="inlineStr">
        <is>
          <t>2人</t>
        </is>
      </c>
      <c r="L6" s="23" t="inlineStr">
        <is>
          <t>40〜80万円</t>
        </is>
      </c>
      <c r="M6" s="38" t="inlineStr">
        <is>
          <t>P1-03</t>
        </is>
      </c>
      <c r="N6" s="37" t="inlineStr">
        <is>
          <t>未着手</t>
        </is>
      </c>
      <c r="O6" s="27" t="inlineStr"/>
    </row>
    <row r="7" ht="62" customHeight="1">
      <c r="A7" s="32" t="inlineStr">
        <is>
          <t>P1-05</t>
        </is>
      </c>
      <c r="B7" s="32" t="inlineStr">
        <is>
          <t>P1</t>
        </is>
      </c>
      <c r="C7" s="33" t="inlineStr">
        <is>
          <t>住まい</t>
        </is>
      </c>
      <c r="D7" s="34" t="inlineStr">
        <is>
          <t>内見・申込・賃貸借契約</t>
        </is>
      </c>
      <c r="E7" s="35" t="inlineStr"/>
      <c r="F7" s="35" t="inlineStr"/>
      <c r="G7" s="35" t="inlineStr">
        <is>
          <t>審査に1週間前後。連帯保証人 or 保証会社</t>
        </is>
      </c>
      <c r="H7" s="32" t="n">
        <v>1</v>
      </c>
      <c r="I7" s="36">
        <f>EDATE('はじめに'!$C$5,H7)</f>
        <v/>
      </c>
      <c r="J7" s="32" t="inlineStr">
        <is>
          <t>推奨</t>
        </is>
      </c>
      <c r="K7" s="32" t="inlineStr">
        <is>
          <t>2人</t>
        </is>
      </c>
      <c r="L7" s="35" t="inlineStr">
        <is>
          <t>-</t>
        </is>
      </c>
      <c r="M7" s="32" t="inlineStr">
        <is>
          <t>P1-03</t>
        </is>
      </c>
      <c r="N7" s="37" t="inlineStr">
        <is>
          <t>未着手</t>
        </is>
      </c>
      <c r="O7" s="27" t="inlineStr"/>
    </row>
    <row r="8" ht="62" customHeight="1">
      <c r="A8" s="38" t="inlineStr">
        <is>
          <t>P1-06</t>
        </is>
      </c>
      <c r="B8" s="38" t="inlineStr">
        <is>
          <t>P1</t>
        </is>
      </c>
      <c r="C8" s="21" t="inlineStr">
        <is>
          <t>住まい</t>
        </is>
      </c>
      <c r="D8" s="39" t="inlineStr">
        <is>
          <t>火災保険・家財保険に加入する</t>
        </is>
      </c>
      <c r="E8" s="23" t="inlineStr"/>
      <c r="F8" s="23" t="inlineStr">
        <is>
          <t>不動産会社指定／自分で選ぶ（安いことが多い）</t>
        </is>
      </c>
      <c r="G8" s="23" t="inlineStr">
        <is>
          <t>指定でなければ自分で選べる場合がある</t>
        </is>
      </c>
      <c r="H8" s="38" t="n">
        <v>1</v>
      </c>
      <c r="I8" s="40">
        <f>EDATE('はじめに'!$C$5,H8)</f>
        <v/>
      </c>
      <c r="J8" s="38" t="inlineStr">
        <is>
          <t>推奨</t>
        </is>
      </c>
      <c r="K8" s="38" t="inlineStr">
        <is>
          <t>どちらか</t>
        </is>
      </c>
      <c r="L8" s="23" t="inlineStr">
        <is>
          <t>1〜2万円/2年</t>
        </is>
      </c>
      <c r="M8" s="38" t="inlineStr">
        <is>
          <t>P1-05</t>
        </is>
      </c>
      <c r="N8" s="37" t="inlineStr">
        <is>
          <t>未着手</t>
        </is>
      </c>
      <c r="O8" s="27" t="inlineStr"/>
    </row>
    <row r="9" ht="62" customHeight="1">
      <c r="A9" s="32" t="inlineStr">
        <is>
          <t>P1-07</t>
        </is>
      </c>
      <c r="B9" s="32" t="inlineStr">
        <is>
          <t>P1</t>
        </is>
      </c>
      <c r="C9" s="33" t="inlineStr">
        <is>
          <t>住まい</t>
        </is>
      </c>
      <c r="D9" s="34" t="inlineStr">
        <is>
          <t>引越し業者の選定と予約</t>
        </is>
      </c>
      <c r="E9" s="35" t="inlineStr">
        <is>
          <t>繁忙期（3〜4月）を避けられるか</t>
        </is>
      </c>
      <c r="F9" s="35" t="inlineStr">
        <is>
          <t>サカイ／アート／アリさん／ハトのマークの一括見積</t>
        </is>
      </c>
      <c r="G9" s="35" t="inlineStr">
        <is>
          <t>3〜4月は2〜3倍。同棲は2軒からの搬出になるので早めに</t>
        </is>
      </c>
      <c r="H9" s="32" t="n">
        <v>1</v>
      </c>
      <c r="I9" s="36">
        <f>EDATE('はじめに'!$C$5,H9)</f>
        <v/>
      </c>
      <c r="J9" s="32" t="inlineStr">
        <is>
          <t>推奨</t>
        </is>
      </c>
      <c r="K9" s="32" t="inlineStr">
        <is>
          <t>どちらか</t>
        </is>
      </c>
      <c r="L9" s="35" t="inlineStr">
        <is>
          <t>8〜20万円</t>
        </is>
      </c>
      <c r="M9" s="32" t="inlineStr">
        <is>
          <t>P1-05</t>
        </is>
      </c>
      <c r="N9" s="37" t="inlineStr">
        <is>
          <t>未着手</t>
        </is>
      </c>
      <c r="O9" s="27" t="inlineStr"/>
    </row>
    <row r="10" ht="62" customHeight="1">
      <c r="A10" s="38" t="inlineStr">
        <is>
          <t>P1-08</t>
        </is>
      </c>
      <c r="B10" s="38" t="inlineStr">
        <is>
          <t>P1</t>
        </is>
      </c>
      <c r="C10" s="21" t="inlineStr">
        <is>
          <t>住まい</t>
        </is>
      </c>
      <c r="D10" s="39" t="inlineStr">
        <is>
          <t>家具・家電の購入と名義の整理</t>
        </is>
      </c>
      <c r="E10" s="23" t="inlineStr">
        <is>
          <t>どちらが買うか、解消時にどうするか</t>
        </is>
      </c>
      <c r="F10" s="23" t="inlineStr">
        <is>
          <t>新規購入／どちらかの物を持ち込み／レンタル（CLAS、subsclife）</t>
        </is>
      </c>
      <c r="G10" s="23" t="inlineStr">
        <is>
          <t>冷蔵庫・洗濯機・ベッドは後で子育て仕様に買い替える可能性がある。**ドラム式洗濯乾燥機と食洗機は産後の最重要投資**なので、ここで入れておくと後が楽</t>
        </is>
      </c>
      <c r="H10" s="38" t="n">
        <v>1</v>
      </c>
      <c r="I10" s="40">
        <f>EDATE('はじめに'!$C$5,H10)</f>
        <v/>
      </c>
      <c r="J10" s="38" t="inlineStr">
        <is>
          <t>推奨</t>
        </is>
      </c>
      <c r="K10" s="38" t="inlineStr">
        <is>
          <t>2人</t>
        </is>
      </c>
      <c r="L10" s="23" t="inlineStr">
        <is>
          <t>20〜50万円</t>
        </is>
      </c>
      <c r="M10" s="38" t="inlineStr">
        <is>
          <t>P1-05</t>
        </is>
      </c>
      <c r="N10" s="37" t="inlineStr">
        <is>
          <t>未着手</t>
        </is>
      </c>
      <c r="O10" s="27" t="inlineStr"/>
    </row>
    <row r="11" ht="62" customHeight="1">
      <c r="A11" s="32" t="inlineStr">
        <is>
          <t>P1-09</t>
        </is>
      </c>
      <c r="B11" s="32" t="inlineStr">
        <is>
          <t>P1</t>
        </is>
      </c>
      <c r="C11" s="33" t="inlineStr">
        <is>
          <t>手続き</t>
        </is>
      </c>
      <c r="D11" s="34" t="inlineStr">
        <is>
          <t>住民票を異動する（世帯をどうするか決める）</t>
        </is>
      </c>
      <c r="E11" s="35" t="inlineStr">
        <is>
          <t>同一世帯にするか、世帯分離のままにするか</t>
        </is>
      </c>
      <c r="F11" s="35" t="inlineStr">
        <is>
          <t>同一世帯（世帯主＋同居人）／別世帯のまま</t>
        </is>
      </c>
      <c r="G11" s="35" t="inlineStr">
        <is>
          <t>国民健康保険料や各種助成の判定が世帯単位のことがある。会社の家賃補助の条件にも影響</t>
        </is>
      </c>
      <c r="H11" s="32" t="n">
        <v>2</v>
      </c>
      <c r="I11" s="36">
        <f>EDATE('はじめに'!$C$5,H11)</f>
        <v/>
      </c>
      <c r="J11" s="32" t="inlineStr">
        <is>
          <t>法定</t>
        </is>
      </c>
      <c r="K11" s="32" t="inlineStr">
        <is>
          <t>2人</t>
        </is>
      </c>
      <c r="L11" s="35" t="inlineStr">
        <is>
          <t>-</t>
        </is>
      </c>
      <c r="M11" s="32" t="inlineStr">
        <is>
          <t>P1-07</t>
        </is>
      </c>
      <c r="N11" s="37" t="inlineStr">
        <is>
          <t>未着手</t>
        </is>
      </c>
      <c r="O11" s="27" t="inlineStr"/>
    </row>
    <row r="12" ht="62" customHeight="1">
      <c r="A12" s="38" t="inlineStr">
        <is>
          <t>P1-10</t>
        </is>
      </c>
      <c r="B12" s="38" t="inlineStr">
        <is>
          <t>P1</t>
        </is>
      </c>
      <c r="C12" s="21" t="inlineStr">
        <is>
          <t>住まい</t>
        </is>
      </c>
      <c r="D12" s="39" t="inlineStr">
        <is>
          <t>インターネット回線の契約</t>
        </is>
      </c>
      <c r="E12" s="23" t="inlineStr"/>
      <c r="F12" s="23" t="inlineStr">
        <is>
          <t>光回線／マンション備え付け／ホームルーター</t>
        </is>
      </c>
      <c r="G12" s="23" t="inlineStr">
        <is>
          <t>在宅勤務が2人分入る前提で回線速度を見る</t>
        </is>
      </c>
      <c r="H12" s="38" t="n">
        <v>2</v>
      </c>
      <c r="I12" s="40">
        <f>EDATE('はじめに'!$C$5,H12)</f>
        <v/>
      </c>
      <c r="J12" s="38" t="inlineStr">
        <is>
          <t>推奨</t>
        </is>
      </c>
      <c r="K12" s="38" t="inlineStr">
        <is>
          <t>どちらか</t>
        </is>
      </c>
      <c r="L12" s="23" t="inlineStr">
        <is>
          <t>-</t>
        </is>
      </c>
      <c r="M12" s="38" t="inlineStr">
        <is>
          <t>P1-05</t>
        </is>
      </c>
      <c r="N12" s="37" t="inlineStr">
        <is>
          <t>未着手</t>
        </is>
      </c>
      <c r="O12" s="27" t="inlineStr"/>
    </row>
    <row r="13" ht="62" customHeight="1">
      <c r="A13" s="32" t="inlineStr">
        <is>
          <t>P1-11</t>
        </is>
      </c>
      <c r="B13" s="32" t="inlineStr">
        <is>
          <t>P1</t>
        </is>
      </c>
      <c r="C13" s="33" t="inlineStr">
        <is>
          <t>お金</t>
        </is>
      </c>
      <c r="D13" s="34" t="inlineStr">
        <is>
          <t>生活費の分担方式と共通口座を決める</t>
        </is>
      </c>
      <c r="E13" s="35" t="inlineStr">
        <is>
          <t>毎月いくらを共通に入れ、何を共通費とするか</t>
        </is>
      </c>
      <c r="F13" s="35" t="inlineStr">
        <is>
          <t>①完全折半 ②収入比例 ③費目別分担 ④全額共通＋各自にお小遣い</t>
        </is>
      </c>
      <c r="G13" s="35" t="inlineStr">
        <is>
          <t>**同棲期の最大の火種**。共通費の定義（食費は？外食は？デート代は？）まで書き出す。収入差があるなら折半は不満が出やすい</t>
        </is>
      </c>
      <c r="H13" s="32" t="n">
        <v>2</v>
      </c>
      <c r="I13" s="36">
        <f>EDATE('はじめに'!$C$5,H13)</f>
        <v/>
      </c>
      <c r="J13" s="32" t="inlineStr">
        <is>
          <t>推奨</t>
        </is>
      </c>
      <c r="K13" s="32" t="inlineStr">
        <is>
          <t>2人</t>
        </is>
      </c>
      <c r="L13" s="35" t="inlineStr">
        <is>
          <t>-</t>
        </is>
      </c>
      <c r="M13" s="32" t="inlineStr">
        <is>
          <t>P1-04</t>
        </is>
      </c>
      <c r="N13" s="37" t="inlineStr">
        <is>
          <t>未着手</t>
        </is>
      </c>
      <c r="O13" s="27" t="inlineStr"/>
    </row>
    <row r="14" ht="62" customHeight="1">
      <c r="A14" s="38" t="inlineStr">
        <is>
          <t>P1-12</t>
        </is>
      </c>
      <c r="B14" s="38" t="inlineStr">
        <is>
          <t>P1</t>
        </is>
      </c>
      <c r="C14" s="21" t="inlineStr">
        <is>
          <t>お金</t>
        </is>
      </c>
      <c r="D14" s="39" t="inlineStr">
        <is>
          <t>家計管理ツールを決める</t>
        </is>
      </c>
      <c r="E14" s="23" t="inlineStr"/>
      <c r="F14" s="23" t="inlineStr">
        <is>
          <t>マネーフォワードME／Zaim／OsidOri（夫婦向け）／シンプルにスプレッドシート</t>
        </is>
      </c>
      <c r="G14" s="23" t="inlineStr">
        <is>
          <t>2人で見られること。見えない支出があると疑心が生まれる</t>
        </is>
      </c>
      <c r="H14" s="38" t="n">
        <v>2</v>
      </c>
      <c r="I14" s="40">
        <f>EDATE('はじめに'!$C$5,H14)</f>
        <v/>
      </c>
      <c r="J14" s="38" t="inlineStr">
        <is>
          <t>推奨</t>
        </is>
      </c>
      <c r="K14" s="38" t="inlineStr">
        <is>
          <t>2人</t>
        </is>
      </c>
      <c r="L14" s="23" t="inlineStr">
        <is>
          <t>0〜1,000円/月</t>
        </is>
      </c>
      <c r="M14" s="38" t="inlineStr">
        <is>
          <t>P1-11</t>
        </is>
      </c>
      <c r="N14" s="37" t="inlineStr">
        <is>
          <t>未着手</t>
        </is>
      </c>
      <c r="O14" s="27" t="inlineStr"/>
    </row>
    <row r="15" ht="62" customHeight="1">
      <c r="A15" s="32" t="inlineStr">
        <is>
          <t>P1-13</t>
        </is>
      </c>
      <c r="B15" s="32" t="inlineStr">
        <is>
          <t>P1</t>
        </is>
      </c>
      <c r="C15" s="33" t="inlineStr">
        <is>
          <t>関係</t>
        </is>
      </c>
      <c r="D15" s="34" t="inlineStr">
        <is>
          <t>家事の分担を「見える化」して設計する</t>
        </is>
      </c>
      <c r="E15" s="35" t="inlineStr">
        <is>
          <t>名前のない家事まで洗い出せているか</t>
        </is>
      </c>
      <c r="F15" s="35" t="inlineStr">
        <is>
          <t>曜日固定／得意分野で分ける／週替わり／外注</t>
        </is>
      </c>
      <c r="G15" s="35" t="inlineStr">
        <is>
          <t>**ゴミ出し「する」だけでなく、袋の補充・分別・収集日の把握まで1タスク**。40〜60項目に分解すると偏りが見える</t>
        </is>
      </c>
      <c r="H15" s="32" t="n">
        <v>2</v>
      </c>
      <c r="I15" s="36">
        <f>EDATE('はじめに'!$C$5,H15)</f>
        <v/>
      </c>
      <c r="J15" s="32" t="inlineStr">
        <is>
          <t>推奨</t>
        </is>
      </c>
      <c r="K15" s="32" t="inlineStr">
        <is>
          <t>2人</t>
        </is>
      </c>
      <c r="L15" s="35" t="inlineStr">
        <is>
          <t>-</t>
        </is>
      </c>
      <c r="M15" s="32" t="inlineStr"/>
      <c r="N15" s="37" t="inlineStr">
        <is>
          <t>未着手</t>
        </is>
      </c>
      <c r="O15" s="27" t="inlineStr"/>
    </row>
    <row r="16" ht="62" customHeight="1">
      <c r="A16" s="38" t="inlineStr">
        <is>
          <t>P1-14</t>
        </is>
      </c>
      <c r="B16" s="38" t="inlineStr">
        <is>
          <t>P1</t>
        </is>
      </c>
      <c r="C16" s="21" t="inlineStr">
        <is>
          <t>関係</t>
        </is>
      </c>
      <c r="D16" s="39" t="inlineStr">
        <is>
          <t>両家への同棲の報告</t>
        </is>
      </c>
      <c r="E16" s="23" t="inlineStr">
        <is>
          <t>報告するか、するならどのタイミングか</t>
        </is>
      </c>
      <c r="F16" s="23" t="inlineStr">
        <is>
          <t>事前に報告／事後報告／結婚が決まってから</t>
        </is>
      </c>
      <c r="G16" s="23" t="inlineStr">
        <is>
          <t>相手の親の価値観による。報告しないことが後で不信につながるケースがある</t>
        </is>
      </c>
      <c r="H16" s="38" t="n">
        <v>2</v>
      </c>
      <c r="I16" s="40">
        <f>EDATE('はじめに'!$C$5,H16)</f>
        <v/>
      </c>
      <c r="J16" s="38" t="inlineStr">
        <is>
          <t>任意</t>
        </is>
      </c>
      <c r="K16" s="38" t="inlineStr">
        <is>
          <t>2人</t>
        </is>
      </c>
      <c r="L16" s="23" t="inlineStr">
        <is>
          <t>-</t>
        </is>
      </c>
      <c r="M16" s="38" t="inlineStr"/>
      <c r="N16" s="37" t="inlineStr">
        <is>
          <t>未着手</t>
        </is>
      </c>
      <c r="O16" s="27" t="inlineStr"/>
    </row>
    <row r="17" ht="62" customHeight="1">
      <c r="A17" s="32" t="inlineStr">
        <is>
          <t>P2-01</t>
        </is>
      </c>
      <c r="B17" s="32" t="inlineStr">
        <is>
          <t>P2</t>
        </is>
      </c>
      <c r="C17" s="33" t="inlineStr">
        <is>
          <t>関係</t>
        </is>
      </c>
      <c r="D17" s="34" t="inlineStr">
        <is>
          <t>週1回15分の夫婦ミーティングを習慣化する</t>
        </is>
      </c>
      <c r="E17" s="35" t="inlineStr">
        <is>
          <t>何を議題にするか</t>
        </is>
      </c>
      <c r="F17" s="35" t="inlineStr">
        <is>
          <t>家事・お金・来週の予定・体調・不満の棚卸し</t>
        </is>
      </c>
      <c r="G17" s="35" t="inlineStr">
        <is>
          <t>**この習慣があるかどうかが、産後の関係を最も左右する**。定例化しないと必ず消える</t>
        </is>
      </c>
      <c r="H17" s="32" t="n">
        <v>3</v>
      </c>
      <c r="I17" s="36">
        <f>EDATE('はじめに'!$C$5,H17)</f>
        <v/>
      </c>
      <c r="J17" s="32" t="inlineStr">
        <is>
          <t>推奨</t>
        </is>
      </c>
      <c r="K17" s="32" t="inlineStr">
        <is>
          <t>2人</t>
        </is>
      </c>
      <c r="L17" s="35" t="inlineStr">
        <is>
          <t>-</t>
        </is>
      </c>
      <c r="M17" s="32" t="inlineStr"/>
      <c r="N17" s="37" t="inlineStr">
        <is>
          <t>未着手</t>
        </is>
      </c>
      <c r="O17" s="27" t="inlineStr"/>
    </row>
    <row r="18" ht="62" customHeight="1">
      <c r="A18" s="38" t="inlineStr">
        <is>
          <t>P2-02</t>
        </is>
      </c>
      <c r="B18" s="38" t="inlineStr">
        <is>
          <t>P2</t>
        </is>
      </c>
      <c r="C18" s="21" t="inlineStr">
        <is>
          <t>関係</t>
        </is>
      </c>
      <c r="D18" s="39" t="inlineStr">
        <is>
          <t>家事分担の運用と月次の見直し</t>
        </is>
      </c>
      <c r="E18" s="23" t="inlineStr">
        <is>
          <t>実態と分担表がずれていないか</t>
        </is>
      </c>
      <c r="F18" s="23" t="inlineStr"/>
      <c r="G18" s="23" t="inlineStr">
        <is>
          <t>「やった感」ではなく所要時間で測る</t>
        </is>
      </c>
      <c r="H18" s="38" t="n">
        <v>4</v>
      </c>
      <c r="I18" s="40">
        <f>EDATE('はじめに'!$C$5,H18)</f>
        <v/>
      </c>
      <c r="J18" s="38" t="inlineStr">
        <is>
          <t>推奨</t>
        </is>
      </c>
      <c r="K18" s="38" t="inlineStr">
        <is>
          <t>2人</t>
        </is>
      </c>
      <c r="L18" s="23" t="inlineStr">
        <is>
          <t>-</t>
        </is>
      </c>
      <c r="M18" s="38" t="inlineStr">
        <is>
          <t>P1-13</t>
        </is>
      </c>
      <c r="N18" s="37" t="inlineStr">
        <is>
          <t>未着手</t>
        </is>
      </c>
      <c r="O18" s="27" t="inlineStr"/>
    </row>
    <row r="19" ht="62" customHeight="1">
      <c r="A19" s="32" t="inlineStr">
        <is>
          <t>P2-03</t>
        </is>
      </c>
      <c r="B19" s="32" t="inlineStr">
        <is>
          <t>P2</t>
        </is>
      </c>
      <c r="C19" s="33" t="inlineStr">
        <is>
          <t>関係</t>
        </is>
      </c>
      <c r="D19" s="34" t="inlineStr">
        <is>
          <t>喧嘩のルールを決める</t>
        </is>
      </c>
      <c r="E19" s="35" t="inlineStr">
        <is>
          <t>揉めたときにどう収めるか</t>
        </is>
      </c>
      <c r="F19" s="35" t="inlineStr">
        <is>
          <t>人格否定をしない／過去を持ち出さない／その日のうちに終わらせない（寝る）／30分で一旦中断</t>
        </is>
      </c>
      <c r="G19" s="35" t="inlineStr">
        <is>
          <t>ルールを平時に決めておくと、有事に機能する</t>
        </is>
      </c>
      <c r="H19" s="32" t="n">
        <v>4</v>
      </c>
      <c r="I19" s="36">
        <f>EDATE('はじめに'!$C$5,H19)</f>
        <v/>
      </c>
      <c r="J19" s="32" t="inlineStr">
        <is>
          <t>推奨</t>
        </is>
      </c>
      <c r="K19" s="32" t="inlineStr">
        <is>
          <t>2人</t>
        </is>
      </c>
      <c r="L19" s="35" t="inlineStr">
        <is>
          <t>-</t>
        </is>
      </c>
      <c r="M19" s="32" t="inlineStr"/>
      <c r="N19" s="37" t="inlineStr">
        <is>
          <t>未着手</t>
        </is>
      </c>
      <c r="O19" s="27" t="inlineStr"/>
    </row>
    <row r="20" ht="62" customHeight="1">
      <c r="A20" s="38" t="inlineStr">
        <is>
          <t>P2-04</t>
        </is>
      </c>
      <c r="B20" s="38" t="inlineStr">
        <is>
          <t>P2</t>
        </is>
      </c>
      <c r="C20" s="21" t="inlineStr">
        <is>
          <t>お金</t>
        </is>
      </c>
      <c r="D20" s="39" t="inlineStr">
        <is>
          <t>貯蓄目標を3本立てで設定する</t>
        </is>
      </c>
      <c r="E20" s="23" t="inlineStr">
        <is>
          <t>何にいくら必要かを分けて積む</t>
        </is>
      </c>
      <c r="F20" s="23" t="inlineStr">
        <is>
          <t>①結婚式資金 ②出産・育児資金 ③住宅／生活防衛資金</t>
        </is>
      </c>
      <c r="G20" s="23" t="inlineStr">
        <is>
          <t>式150〜400万円、出産〜1歳で50〜100万円（給付金差引後）、生活防衛資金は生活費6ヶ月分</t>
        </is>
      </c>
      <c r="H20" s="38" t="n">
        <v>4</v>
      </c>
      <c r="I20" s="40">
        <f>EDATE('はじめに'!$C$5,H20)</f>
        <v/>
      </c>
      <c r="J20" s="38" t="inlineStr">
        <is>
          <t>推奨</t>
        </is>
      </c>
      <c r="K20" s="38" t="inlineStr">
        <is>
          <t>2人</t>
        </is>
      </c>
      <c r="L20" s="23" t="inlineStr">
        <is>
          <t>-</t>
        </is>
      </c>
      <c r="M20" s="38" t="inlineStr">
        <is>
          <t>P1-11</t>
        </is>
      </c>
      <c r="N20" s="37" t="inlineStr">
        <is>
          <t>未着手</t>
        </is>
      </c>
      <c r="O20" s="27" t="inlineStr"/>
    </row>
    <row r="21" ht="62" customHeight="1">
      <c r="A21" s="32" t="inlineStr">
        <is>
          <t>P2-05</t>
        </is>
      </c>
      <c r="B21" s="32" t="inlineStr">
        <is>
          <t>P2</t>
        </is>
      </c>
      <c r="C21" s="33" t="inlineStr">
        <is>
          <t>お金</t>
        </is>
      </c>
      <c r="D21" s="34" t="inlineStr">
        <is>
          <t>各自が自由に使える額を確定する</t>
        </is>
      </c>
      <c r="E21" s="35" t="inlineStr">
        <is>
          <t>共通費を引いた後、いくらを個人裁量にするか</t>
        </is>
      </c>
      <c r="F21" s="35" t="inlineStr">
        <is>
          <t>定額お小遣い制／収入の◯%／上限だけ決める</t>
        </is>
      </c>
      <c r="G21" s="35" t="inlineStr">
        <is>
          <t>**ここを曖昧にすると必ず揉める**。相手の趣味への課金額に口を出さない代わりに上限を決める</t>
        </is>
      </c>
      <c r="H21" s="32" t="n">
        <v>5</v>
      </c>
      <c r="I21" s="36">
        <f>EDATE('はじめに'!$C$5,H21)</f>
        <v/>
      </c>
      <c r="J21" s="32" t="inlineStr">
        <is>
          <t>推奨</t>
        </is>
      </c>
      <c r="K21" s="32" t="inlineStr">
        <is>
          <t>2人</t>
        </is>
      </c>
      <c r="L21" s="35" t="inlineStr">
        <is>
          <t>-</t>
        </is>
      </c>
      <c r="M21" s="32" t="inlineStr">
        <is>
          <t>P1-11</t>
        </is>
      </c>
      <c r="N21" s="37" t="inlineStr">
        <is>
          <t>未着手</t>
        </is>
      </c>
      <c r="O21" s="27" t="inlineStr"/>
    </row>
    <row r="22" ht="62" customHeight="1">
      <c r="A22" s="38" t="inlineStr">
        <is>
          <t>P2-06</t>
        </is>
      </c>
      <c r="B22" s="38" t="inlineStr">
        <is>
          <t>P2</t>
        </is>
      </c>
      <c r="C22" s="21" t="inlineStr">
        <is>
          <t>お金</t>
        </is>
      </c>
      <c r="D22" s="39" t="inlineStr">
        <is>
          <t>保険の棚卸し（医療・生命・就業不能）</t>
        </is>
      </c>
      <c r="E22" s="23" t="inlineStr">
        <is>
          <t>独身時代の契約のままになっていないか</t>
        </is>
      </c>
      <c r="F22" s="23" t="inlineStr">
        <is>
          <t>職場の団体保険／共済／民間</t>
        </is>
      </c>
      <c r="G22" s="23" t="inlineStr">
        <is>
          <t>**女性の医療保険は妊娠前の加入が原則**（妊娠後は子宮関連が不担保になりやすい）。P7より前に済ませる</t>
        </is>
      </c>
      <c r="H22" s="38" t="n">
        <v>6</v>
      </c>
      <c r="I22" s="40">
        <f>EDATE('はじめに'!$C$5,H22)</f>
        <v/>
      </c>
      <c r="J22" s="38" t="inlineStr">
        <is>
          <t>推奨</t>
        </is>
      </c>
      <c r="K22" s="38" t="inlineStr">
        <is>
          <t>2人</t>
        </is>
      </c>
      <c r="L22" s="23" t="inlineStr">
        <is>
          <t>-</t>
        </is>
      </c>
      <c r="M22" s="38" t="inlineStr"/>
      <c r="N22" s="37" t="inlineStr">
        <is>
          <t>未着手</t>
        </is>
      </c>
      <c r="O22" s="27" t="inlineStr"/>
    </row>
    <row r="23" ht="62" customHeight="1">
      <c r="A23" s="32" t="inlineStr">
        <is>
          <t>P2-07</t>
        </is>
      </c>
      <c r="B23" s="32" t="inlineStr">
        <is>
          <t>P2</t>
        </is>
      </c>
      <c r="C23" s="33" t="inlineStr">
        <is>
          <t>お金</t>
        </is>
      </c>
      <c r="D23" s="34" t="inlineStr">
        <is>
          <t>NISA・資産形成の方針を合わせる</t>
        </is>
      </c>
      <c r="E23" s="35" t="inlineStr">
        <is>
          <t>どちらの名義でいくら積むか</t>
        </is>
      </c>
      <c r="F23" s="35" t="inlineStr">
        <is>
          <t>新NISA（つみたて投資枠）</t>
        </is>
      </c>
      <c r="G23" s="35" t="inlineStr">
        <is>
          <t>教育資金は最終的にここか学資保険。方針を今のうちに合わせる</t>
        </is>
      </c>
      <c r="H23" s="32" t="n">
        <v>6</v>
      </c>
      <c r="I23" s="36">
        <f>EDATE('はじめに'!$C$5,H23)</f>
        <v/>
      </c>
      <c r="J23" s="32" t="inlineStr">
        <is>
          <t>任意</t>
        </is>
      </c>
      <c r="K23" s="32" t="inlineStr">
        <is>
          <t>2人</t>
        </is>
      </c>
      <c r="L23" s="35" t="inlineStr">
        <is>
          <t>-</t>
        </is>
      </c>
      <c r="M23" s="32" t="inlineStr"/>
      <c r="N23" s="37" t="inlineStr">
        <is>
          <t>未着手</t>
        </is>
      </c>
      <c r="O23" s="27" t="inlineStr"/>
    </row>
    <row r="24" ht="62" customHeight="1">
      <c r="A24" s="38" t="inlineStr">
        <is>
          <t>P2-08</t>
        </is>
      </c>
      <c r="B24" s="38" t="inlineStr">
        <is>
          <t>P2</t>
        </is>
      </c>
      <c r="C24" s="21" t="inlineStr">
        <is>
          <t>関係</t>
        </is>
      </c>
      <c r="D24" s="39" t="inlineStr">
        <is>
          <t>お互いの親との距離感を確認する</t>
        </is>
      </c>
      <c r="E24" s="23" t="inlineStr">
        <is>
          <t>訪問頻度・宿泊・連絡の取り方をどうするか</t>
        </is>
      </c>
      <c r="F24" s="23" t="inlineStr"/>
      <c r="G24" s="23" t="inlineStr">
        <is>
          <t>**義実家対応は「各自が自分の実親に言う」が原則**。ここを決めておくと産後の衝突が激減する</t>
        </is>
      </c>
      <c r="H24" s="38" t="n">
        <v>7</v>
      </c>
      <c r="I24" s="40">
        <f>EDATE('はじめに'!$C$5,H24)</f>
        <v/>
      </c>
      <c r="J24" s="38" t="inlineStr">
        <is>
          <t>推奨</t>
        </is>
      </c>
      <c r="K24" s="38" t="inlineStr">
        <is>
          <t>2人</t>
        </is>
      </c>
      <c r="L24" s="23" t="inlineStr">
        <is>
          <t>-</t>
        </is>
      </c>
      <c r="M24" s="38" t="inlineStr"/>
      <c r="N24" s="37" t="inlineStr">
        <is>
          <t>未着手</t>
        </is>
      </c>
      <c r="O24" s="27" t="inlineStr"/>
    </row>
    <row r="25" ht="62" customHeight="1">
      <c r="A25" s="32" t="inlineStr">
        <is>
          <t>P2-09</t>
        </is>
      </c>
      <c r="B25" s="32" t="inlineStr">
        <is>
          <t>P2</t>
        </is>
      </c>
      <c r="C25" s="33" t="inlineStr">
        <is>
          <t>キャリア</t>
        </is>
      </c>
      <c r="D25" s="34" t="inlineStr">
        <is>
          <t>転職・異動・留学などの予定を共有する</t>
        </is>
      </c>
      <c r="E25" s="35" t="inlineStr">
        <is>
          <t>今後3年の働き方をどうするか</t>
        </is>
      </c>
      <c r="F25" s="35" t="inlineStr"/>
      <c r="G25" s="35" t="inlineStr">
        <is>
          <t>妊活・出産の時期と衝突しないか確認</t>
        </is>
      </c>
      <c r="H25" s="32" t="n">
        <v>8</v>
      </c>
      <c r="I25" s="36">
        <f>EDATE('はじめに'!$C$5,H25)</f>
        <v/>
      </c>
      <c r="J25" s="32" t="inlineStr">
        <is>
          <t>推奨</t>
        </is>
      </c>
      <c r="K25" s="32" t="inlineStr">
        <is>
          <t>2人</t>
        </is>
      </c>
      <c r="L25" s="35" t="inlineStr">
        <is>
          <t>-</t>
        </is>
      </c>
      <c r="M25" s="32" t="inlineStr"/>
      <c r="N25" s="37" t="inlineStr">
        <is>
          <t>未着手</t>
        </is>
      </c>
      <c r="O25" s="27" t="inlineStr"/>
    </row>
    <row r="26" ht="62" customHeight="1">
      <c r="A26" s="38" t="inlineStr">
        <is>
          <t>P3-01</t>
        </is>
      </c>
      <c r="B26" s="38" t="inlineStr">
        <is>
          <t>P3</t>
        </is>
      </c>
      <c r="C26" s="21" t="inlineStr">
        <is>
          <t>結婚</t>
        </is>
      </c>
      <c r="D26" s="39" t="inlineStr">
        <is>
          <t>プロポーズ</t>
        </is>
      </c>
      <c r="E26" s="23" t="inlineStr">
        <is>
          <t>形式をどうするか（サプライズか合意形成か）</t>
        </is>
      </c>
      <c r="F26" s="23" t="inlineStr">
        <is>
          <t>サプライズ／事前に相談して指輪は一緒に選ぶ／記念旅行で</t>
        </is>
      </c>
      <c r="G26" s="23" t="inlineStr">
        <is>
          <t>**期待値のズレが後々まで残る**。指輪のサイズや好みは事前リサーチを</t>
        </is>
      </c>
      <c r="H26" s="38" t="n">
        <v>9</v>
      </c>
      <c r="I26" s="40">
        <f>EDATE('はじめに'!$C$5,H26)</f>
        <v/>
      </c>
      <c r="J26" s="38" t="inlineStr">
        <is>
          <t>任意</t>
        </is>
      </c>
      <c r="K26" s="38" t="inlineStr">
        <is>
          <t>どちらか</t>
        </is>
      </c>
      <c r="L26" s="23" t="inlineStr">
        <is>
          <t>-</t>
        </is>
      </c>
      <c r="M26" s="38" t="inlineStr"/>
      <c r="N26" s="37" t="inlineStr">
        <is>
          <t>未着手</t>
        </is>
      </c>
      <c r="O26" s="27" t="inlineStr"/>
    </row>
    <row r="27" ht="62" customHeight="1">
      <c r="A27" s="32" t="inlineStr">
        <is>
          <t>P3-02</t>
        </is>
      </c>
      <c r="B27" s="32" t="inlineStr">
        <is>
          <t>P3</t>
        </is>
      </c>
      <c r="C27" s="33" t="inlineStr">
        <is>
          <t>結婚</t>
        </is>
      </c>
      <c r="D27" s="34" t="inlineStr">
        <is>
          <t>婚約指輪の要否と予算を決める</t>
        </is>
      </c>
      <c r="E27" s="35" t="inlineStr">
        <is>
          <t>買うか、買うなら何を優先するか</t>
        </is>
      </c>
      <c r="F27" s="35" t="inlineStr">
        <is>
          <t>国内：俄（にわか）／杢目金屋／ケイウノ／4℃　海外：Tiffany／Cartier／Harry Winston／Bvlgari　その他：セミオーダー、指輪なしで別の記念品</t>
        </is>
      </c>
      <c r="G27" s="35" t="inlineStr">
        <is>
          <t>相場は30〜40万円だが「給料3ヶ月分」は広告由来で根拠なし。**日常的に着ける物ではないので、結婚指輪に予算を寄せる選択も合理的**</t>
        </is>
      </c>
      <c r="H27" s="32" t="n">
        <v>9</v>
      </c>
      <c r="I27" s="36">
        <f>EDATE('はじめに'!$C$5,H27)</f>
        <v/>
      </c>
      <c r="J27" s="32" t="inlineStr">
        <is>
          <t>任意</t>
        </is>
      </c>
      <c r="K27" s="32" t="inlineStr">
        <is>
          <t>2人</t>
        </is>
      </c>
      <c r="L27" s="35" t="inlineStr">
        <is>
          <t>0〜40万円</t>
        </is>
      </c>
      <c r="M27" s="32" t="inlineStr"/>
      <c r="N27" s="37" t="inlineStr">
        <is>
          <t>未着手</t>
        </is>
      </c>
      <c r="O27" s="27" t="inlineStr"/>
    </row>
    <row r="28" ht="62" customHeight="1">
      <c r="A28" s="38" t="inlineStr">
        <is>
          <t>P3-03</t>
        </is>
      </c>
      <c r="B28" s="38" t="inlineStr">
        <is>
          <t>P3</t>
        </is>
      </c>
      <c r="C28" s="21" t="inlineStr">
        <is>
          <t>結婚</t>
        </is>
      </c>
      <c r="D28" s="39" t="inlineStr">
        <is>
          <t>両家への挨拶（順番は女性側から）</t>
        </is>
      </c>
      <c r="E28" s="23" t="inlineStr">
        <is>
          <t>いつ、どこで、何を着ていくか</t>
        </is>
      </c>
      <c r="F28" s="23" t="inlineStr">
        <is>
          <t>実家／料亭／レストラン</t>
        </is>
      </c>
      <c r="G28" s="23" t="inlineStr">
        <is>
          <t>手土産、服装、切り出し方を事前に決める</t>
        </is>
      </c>
      <c r="H28" s="38" t="n">
        <v>10</v>
      </c>
      <c r="I28" s="40">
        <f>EDATE('はじめに'!$C$5,H28)</f>
        <v/>
      </c>
      <c r="J28" s="38" t="inlineStr">
        <is>
          <t>推奨</t>
        </is>
      </c>
      <c r="K28" s="38" t="inlineStr">
        <is>
          <t>2人</t>
        </is>
      </c>
      <c r="L28" s="23" t="inlineStr">
        <is>
          <t>1〜3万円</t>
        </is>
      </c>
      <c r="M28" s="38" t="inlineStr">
        <is>
          <t>P3-01</t>
        </is>
      </c>
      <c r="N28" s="37" t="inlineStr">
        <is>
          <t>未着手</t>
        </is>
      </c>
      <c r="O28" s="27" t="inlineStr"/>
    </row>
    <row r="29" ht="62" customHeight="1">
      <c r="A29" s="32" t="inlineStr">
        <is>
          <t>P3-04</t>
        </is>
      </c>
      <c r="B29" s="32" t="inlineStr">
        <is>
          <t>P3</t>
        </is>
      </c>
      <c r="C29" s="33" t="inlineStr">
        <is>
          <t>結婚</t>
        </is>
      </c>
      <c r="D29" s="34" t="inlineStr">
        <is>
          <t>両家顔合わせ or 結納を行う</t>
        </is>
      </c>
      <c r="E29" s="35" t="inlineStr">
        <is>
          <t>結納をするか、食事会形式にするか</t>
        </is>
      </c>
      <c r="F29" s="35" t="inlineStr">
        <is>
          <t>正式結納／略式結納／顔合わせ食事会（現在の主流）</t>
        </is>
      </c>
      <c r="G29" s="35" t="inlineStr">
        <is>
          <t>**地域と家によって常識が違う**。両家の意向を先に各自の実親に確認してから形式を決める</t>
        </is>
      </c>
      <c r="H29" s="32" t="n">
        <v>11</v>
      </c>
      <c r="I29" s="36">
        <f>EDATE('はじめに'!$C$5,H29)</f>
        <v/>
      </c>
      <c r="J29" s="32" t="inlineStr">
        <is>
          <t>推奨</t>
        </is>
      </c>
      <c r="K29" s="32" t="inlineStr">
        <is>
          <t>2人</t>
        </is>
      </c>
      <c r="L29" s="35" t="inlineStr">
        <is>
          <t>5〜20万円</t>
        </is>
      </c>
      <c r="M29" s="32" t="inlineStr">
        <is>
          <t>P3-03</t>
        </is>
      </c>
      <c r="N29" s="37" t="inlineStr">
        <is>
          <t>未着手</t>
        </is>
      </c>
      <c r="O29" s="27" t="inlineStr"/>
    </row>
    <row r="30" ht="62" customHeight="1">
      <c r="A30" s="38" t="inlineStr">
        <is>
          <t>P3-05</t>
        </is>
      </c>
      <c r="B30" s="38" t="inlineStr">
        <is>
          <t>P3</t>
        </is>
      </c>
      <c r="C30" s="21" t="inlineStr">
        <is>
          <t>結婚</t>
        </is>
      </c>
      <c r="D30" s="39" t="inlineStr">
        <is>
          <t>顔合わせの進行表・手土産・費用負担を決める</t>
        </is>
      </c>
      <c r="E30" s="23" t="inlineStr">
        <is>
          <t>誰が払うか</t>
        </is>
      </c>
      <c r="F30" s="23" t="inlineStr">
        <is>
          <t>両家折半／本人たちが負担</t>
        </is>
      </c>
      <c r="G30" s="23" t="inlineStr">
        <is>
          <t>しおりを作ると場が持つ</t>
        </is>
      </c>
      <c r="H30" s="38" t="n">
        <v>11</v>
      </c>
      <c r="I30" s="40">
        <f>EDATE('はじめに'!$C$5,H30)</f>
        <v/>
      </c>
      <c r="J30" s="38" t="inlineStr">
        <is>
          <t>任意</t>
        </is>
      </c>
      <c r="K30" s="38" t="inlineStr">
        <is>
          <t>2人</t>
        </is>
      </c>
      <c r="L30" s="23" t="inlineStr">
        <is>
          <t>-</t>
        </is>
      </c>
      <c r="M30" s="38" t="inlineStr">
        <is>
          <t>P3-04</t>
        </is>
      </c>
      <c r="N30" s="37" t="inlineStr">
        <is>
          <t>未着手</t>
        </is>
      </c>
      <c r="O30" s="27" t="inlineStr"/>
    </row>
    <row r="31" ht="62" customHeight="1">
      <c r="A31" s="32" t="inlineStr">
        <is>
          <t>P3-06</t>
        </is>
      </c>
      <c r="B31" s="32" t="inlineStr">
        <is>
          <t>P3</t>
        </is>
      </c>
      <c r="C31" s="33" t="inlineStr">
        <is>
          <t>結婚</t>
        </is>
      </c>
      <c r="D31" s="34" t="inlineStr">
        <is>
          <t>結婚後の生活方針を合意する</t>
        </is>
      </c>
      <c r="E31" s="35" t="inlineStr">
        <is>
          <t>住まい・共働き・子どもの人数と時期・家事分担</t>
        </is>
      </c>
      <c r="F31" s="35" t="inlineStr"/>
      <c r="G31" s="35" t="inlineStr">
        <is>
          <t>ここで子どもの希望人数と時期を明示しておくと、P7以降の温度差が減る</t>
        </is>
      </c>
      <c r="H31" s="32" t="n">
        <v>10</v>
      </c>
      <c r="I31" s="36">
        <f>EDATE('はじめに'!$C$5,H31)</f>
        <v/>
      </c>
      <c r="J31" s="32" t="inlineStr">
        <is>
          <t>推奨</t>
        </is>
      </c>
      <c r="K31" s="32" t="inlineStr">
        <is>
          <t>2人</t>
        </is>
      </c>
      <c r="L31" s="35" t="inlineStr">
        <is>
          <t>-</t>
        </is>
      </c>
      <c r="M31" s="32" t="inlineStr"/>
      <c r="N31" s="37" t="inlineStr">
        <is>
          <t>未着手</t>
        </is>
      </c>
      <c r="O31" s="27" t="inlineStr"/>
    </row>
    <row r="32" ht="62" customHeight="1">
      <c r="A32" s="38" t="inlineStr">
        <is>
          <t>P3-07</t>
        </is>
      </c>
      <c r="B32" s="38" t="inlineStr">
        <is>
          <t>P3</t>
        </is>
      </c>
      <c r="C32" s="21" t="inlineStr">
        <is>
          <t>手続き</t>
        </is>
      </c>
      <c r="D32" s="39" t="inlineStr">
        <is>
          <t>姓をどちらにするか決める</t>
        </is>
      </c>
      <c r="E32" s="23" t="inlineStr">
        <is>
          <t>改姓による実務負担とキャリア上の影響をどう扱うか</t>
        </is>
      </c>
      <c r="F32" s="23" t="inlineStr">
        <is>
          <t>夫の姓／妻の姓／旧姓の通称使用（勤務先の運用次第）</t>
        </is>
      </c>
      <c r="G32" s="23" t="inlineStr">
        <is>
          <t>**改姓側に20〜30件の名義変更が発生する**。論文・資格・営業実績が旧姓に紐づく場合は通称使用の可否を勤務先に確認</t>
        </is>
      </c>
      <c r="H32" s="38" t="n">
        <v>10</v>
      </c>
      <c r="I32" s="40">
        <f>EDATE('はじめに'!$C$5,H32)</f>
        <v/>
      </c>
      <c r="J32" s="38" t="inlineStr">
        <is>
          <t>法定</t>
        </is>
      </c>
      <c r="K32" s="38" t="inlineStr">
        <is>
          <t>2人</t>
        </is>
      </c>
      <c r="L32" s="23" t="inlineStr">
        <is>
          <t>-</t>
        </is>
      </c>
      <c r="M32" s="38" t="inlineStr"/>
      <c r="N32" s="37" t="inlineStr">
        <is>
          <t>未着手</t>
        </is>
      </c>
      <c r="O32" s="27" t="inlineStr"/>
    </row>
    <row r="33" ht="62" customHeight="1">
      <c r="A33" s="32" t="inlineStr">
        <is>
          <t>P3-08</t>
        </is>
      </c>
      <c r="B33" s="32" t="inlineStr">
        <is>
          <t>P3</t>
        </is>
      </c>
      <c r="C33" s="33" t="inlineStr">
        <is>
          <t>結婚式</t>
        </is>
      </c>
      <c r="D33" s="34" t="inlineStr">
        <is>
          <t>結婚式をやるかどうかを決める</t>
        </is>
      </c>
      <c r="E33" s="35" t="inlineStr">
        <is>
          <t>何のために式をやるのか（誰に見せるための式か）</t>
        </is>
      </c>
      <c r="F33" s="35" t="inlineStr">
        <is>
          <t>①挙式＋披露宴 ②家族婚（20名以下） ③会費制1.5次会 ④フォトウェディングのみ ⑤ナシ婚</t>
        </is>
      </c>
      <c r="G33" s="35" t="inlineStr">
        <is>
          <t>判断軸：総予算と貯蓄／両家（特に親）の希望／招待したい人の数／**妊活の開始時期（式を待つと妊活が遅れる）**／年齢</t>
        </is>
      </c>
      <c r="H33" s="32" t="n">
        <v>10</v>
      </c>
      <c r="I33" s="36">
        <f>EDATE('はじめに'!$C$5,H33)</f>
        <v/>
      </c>
      <c r="J33" s="32" t="inlineStr">
        <is>
          <t>任意</t>
        </is>
      </c>
      <c r="K33" s="32" t="inlineStr">
        <is>
          <t>2人</t>
        </is>
      </c>
      <c r="L33" s="35" t="inlineStr">
        <is>
          <t>-</t>
        </is>
      </c>
      <c r="M33" s="32" t="inlineStr">
        <is>
          <t>P3-06</t>
        </is>
      </c>
      <c r="N33" s="37" t="inlineStr">
        <is>
          <t>未着手</t>
        </is>
      </c>
      <c r="O33" s="27" t="inlineStr"/>
    </row>
    <row r="34" ht="62" customHeight="1">
      <c r="A34" s="38" t="inlineStr">
        <is>
          <t>P3-09</t>
        </is>
      </c>
      <c r="B34" s="38" t="inlineStr">
        <is>
          <t>P3</t>
        </is>
      </c>
      <c r="C34" s="21" t="inlineStr">
        <is>
          <t>お金</t>
        </is>
      </c>
      <c r="D34" s="39" t="inlineStr">
        <is>
          <t>結婚にかかる総予算と資金源を確定する</t>
        </is>
      </c>
      <c r="E34" s="23" t="inlineStr">
        <is>
          <t>貯蓄・親の援助・ご祝儀のどれをどれだけ当てにするか</t>
        </is>
      </c>
      <c r="F34" s="23" t="inlineStr"/>
      <c r="G34" s="23" t="inlineStr">
        <is>
          <t>**ご祝儀は後払い、式費用は前払いのことが多い**。一時的に150〜300万円の現金が必要になる場合がある</t>
        </is>
      </c>
      <c r="H34" s="38" t="n">
        <v>11</v>
      </c>
      <c r="I34" s="40">
        <f>EDATE('はじめに'!$C$5,H34)</f>
        <v/>
      </c>
      <c r="J34" s="38" t="inlineStr">
        <is>
          <t>推奨</t>
        </is>
      </c>
      <c r="K34" s="38" t="inlineStr">
        <is>
          <t>2人</t>
        </is>
      </c>
      <c r="L34" s="23" t="inlineStr">
        <is>
          <t>-</t>
        </is>
      </c>
      <c r="M34" s="38" t="inlineStr">
        <is>
          <t>P3-08</t>
        </is>
      </c>
      <c r="N34" s="37" t="inlineStr">
        <is>
          <t>未着手</t>
        </is>
      </c>
      <c r="O34" s="27" t="inlineStr"/>
    </row>
    <row r="35" ht="62" customHeight="1">
      <c r="A35" s="32" t="inlineStr">
        <is>
          <t>P4-01</t>
        </is>
      </c>
      <c r="B35" s="32" t="inlineStr">
        <is>
          <t>P4</t>
        </is>
      </c>
      <c r="C35" s="33" t="inlineStr">
        <is>
          <t>手続き</t>
        </is>
      </c>
      <c r="D35" s="34" t="inlineStr">
        <is>
          <t>婚姻届の入手と証人2名の依頼</t>
        </is>
      </c>
      <c r="E35" s="35" t="inlineStr">
        <is>
          <t>証人を誰に頼むか</t>
        </is>
      </c>
      <c r="F35" s="35" t="inlineStr">
        <is>
          <t>親／友人／上司</t>
        </is>
      </c>
      <c r="G35" s="35" t="inlineStr">
        <is>
          <t>18歳以上なら誰でも可</t>
        </is>
      </c>
      <c r="H35" s="32" t="n">
        <v>12</v>
      </c>
      <c r="I35" s="36">
        <f>EDATE('はじめに'!$C$5,H35)</f>
        <v/>
      </c>
      <c r="J35" s="32" t="inlineStr">
        <is>
          <t>法定</t>
        </is>
      </c>
      <c r="K35" s="32" t="inlineStr">
        <is>
          <t>2人</t>
        </is>
      </c>
      <c r="L35" s="35" t="inlineStr">
        <is>
          <t>-</t>
        </is>
      </c>
      <c r="M35" s="32" t="inlineStr"/>
      <c r="N35" s="37" t="inlineStr">
        <is>
          <t>未着手</t>
        </is>
      </c>
      <c r="O35" s="27" t="inlineStr"/>
    </row>
    <row r="36" ht="62" customHeight="1">
      <c r="A36" s="38" t="inlineStr">
        <is>
          <t>P4-02</t>
        </is>
      </c>
      <c r="B36" s="38" t="inlineStr">
        <is>
          <t>P4</t>
        </is>
      </c>
      <c r="C36" s="21" t="inlineStr">
        <is>
          <t>手続き</t>
        </is>
      </c>
      <c r="D36" s="39" t="inlineStr">
        <is>
          <t>戸籍謄本を取得する</t>
        </is>
      </c>
      <c r="E36" s="23" t="inlineStr"/>
      <c r="F36" s="23" t="inlineStr">
        <is>
          <t>本籍地の役所／コンビニ交付／郵送</t>
        </is>
      </c>
      <c r="G36" s="23" t="inlineStr">
        <is>
          <t>本籍地が遠いと1週間かかる。2026年時点では広域交付も利用できる</t>
        </is>
      </c>
      <c r="H36" s="38" t="n">
        <v>12</v>
      </c>
      <c r="I36" s="40">
        <f>EDATE('はじめに'!$C$5,H36)</f>
        <v/>
      </c>
      <c r="J36" s="38" t="inlineStr">
        <is>
          <t>法定</t>
        </is>
      </c>
      <c r="K36" s="38" t="inlineStr">
        <is>
          <t>2人</t>
        </is>
      </c>
      <c r="L36" s="23" t="inlineStr">
        <is>
          <t>-</t>
        </is>
      </c>
      <c r="M36" s="38" t="inlineStr"/>
      <c r="N36" s="37" t="inlineStr">
        <is>
          <t>未着手</t>
        </is>
      </c>
      <c r="O36" s="27" t="inlineStr"/>
    </row>
    <row r="37" ht="62" customHeight="1">
      <c r="A37" s="32" t="inlineStr">
        <is>
          <t>P4-03</t>
        </is>
      </c>
      <c r="B37" s="32" t="inlineStr">
        <is>
          <t>P4</t>
        </is>
      </c>
      <c r="C37" s="33" t="inlineStr">
        <is>
          <t>手続き</t>
        </is>
      </c>
      <c r="D37" s="34" t="inlineStr">
        <is>
          <t>入籍日を決める</t>
        </is>
      </c>
      <c r="E37" s="35" t="inlineStr">
        <is>
          <t>記念日にするか、手続きの都合を優先するか</t>
        </is>
      </c>
      <c r="F37" s="35" t="inlineStr"/>
      <c r="G37" s="35" t="inlineStr">
        <is>
          <t>土日祝でも夜間窓口で提出可（受理は後日確認）</t>
        </is>
      </c>
      <c r="H37" s="32" t="n">
        <v>12</v>
      </c>
      <c r="I37" s="36">
        <f>EDATE('はじめに'!$C$5,H37)</f>
        <v/>
      </c>
      <c r="J37" s="32" t="inlineStr">
        <is>
          <t>推奨</t>
        </is>
      </c>
      <c r="K37" s="32" t="inlineStr">
        <is>
          <t>2人</t>
        </is>
      </c>
      <c r="L37" s="35" t="inlineStr">
        <is>
          <t>-</t>
        </is>
      </c>
      <c r="M37" s="32" t="inlineStr"/>
      <c r="N37" s="37" t="inlineStr">
        <is>
          <t>未着手</t>
        </is>
      </c>
      <c r="O37" s="27" t="inlineStr"/>
    </row>
    <row r="38" ht="62" customHeight="1">
      <c r="A38" s="38" t="inlineStr">
        <is>
          <t>P4-04</t>
        </is>
      </c>
      <c r="B38" s="38" t="inlineStr">
        <is>
          <t>P4</t>
        </is>
      </c>
      <c r="C38" s="21" t="inlineStr">
        <is>
          <t>手続き</t>
        </is>
      </c>
      <c r="D38" s="39" t="inlineStr">
        <is>
          <t>婚姻届の提出（＋転入・転居届、世帯合併）</t>
        </is>
      </c>
      <c r="E38" s="23" t="inlineStr"/>
      <c r="F38" s="23" t="inlineStr"/>
      <c r="G38" s="23" t="inlineStr">
        <is>
          <t>同時に住民票の異動もできると1回で済む</t>
        </is>
      </c>
      <c r="H38" s="38" t="n">
        <v>13</v>
      </c>
      <c r="I38" s="40">
        <f>EDATE('はじめに'!$C$5,H38)</f>
        <v/>
      </c>
      <c r="J38" s="38" t="inlineStr">
        <is>
          <t>法定</t>
        </is>
      </c>
      <c r="K38" s="38" t="inlineStr">
        <is>
          <t>2人</t>
        </is>
      </c>
      <c r="L38" s="23" t="inlineStr">
        <is>
          <t>-</t>
        </is>
      </c>
      <c r="M38" s="38" t="inlineStr">
        <is>
          <t>P4-01</t>
        </is>
      </c>
      <c r="N38" s="37" t="inlineStr">
        <is>
          <t>未着手</t>
        </is>
      </c>
      <c r="O38" s="27" t="inlineStr"/>
    </row>
    <row r="39" ht="62" customHeight="1">
      <c r="A39" s="32" t="inlineStr">
        <is>
          <t>P4-05</t>
        </is>
      </c>
      <c r="B39" s="32" t="inlineStr">
        <is>
          <t>P4</t>
        </is>
      </c>
      <c r="C39" s="33" t="inlineStr">
        <is>
          <t>手続き</t>
        </is>
      </c>
      <c r="D39" s="34" t="inlineStr">
        <is>
          <t>新しい戸籍謄本・住民票を必要枚数取得する</t>
        </is>
      </c>
      <c r="E39" s="35" t="inlineStr">
        <is>
          <t>何枚要るか</t>
        </is>
      </c>
      <c r="F39" s="35" t="inlineStr"/>
      <c r="G39" s="35" t="inlineStr">
        <is>
          <t>**名義変更で5〜10通使う。まとめて取る**</t>
        </is>
      </c>
      <c r="H39" s="32" t="n">
        <v>13</v>
      </c>
      <c r="I39" s="36">
        <f>EDATE('はじめに'!$C$5,H39)</f>
        <v/>
      </c>
      <c r="J39" s="32" t="inlineStr">
        <is>
          <t>法定</t>
        </is>
      </c>
      <c r="K39" s="32" t="inlineStr">
        <is>
          <t>どちらか</t>
        </is>
      </c>
      <c r="L39" s="35" t="inlineStr">
        <is>
          <t>-</t>
        </is>
      </c>
      <c r="M39" s="32" t="inlineStr">
        <is>
          <t>P4-04</t>
        </is>
      </c>
      <c r="N39" s="37" t="inlineStr">
        <is>
          <t>未着手</t>
        </is>
      </c>
      <c r="O39" s="27" t="inlineStr"/>
    </row>
    <row r="40" ht="62" customHeight="1">
      <c r="A40" s="38" t="inlineStr">
        <is>
          <t>P4-06</t>
        </is>
      </c>
      <c r="B40" s="38" t="inlineStr">
        <is>
          <t>P4</t>
        </is>
      </c>
      <c r="C40" s="21" t="inlineStr">
        <is>
          <t>手続き</t>
        </is>
      </c>
      <c r="D40" s="39" t="inlineStr">
        <is>
          <t>勤務先への届出（扶養・氏名・住所・通勤手当・慶弔金）</t>
        </is>
      </c>
      <c r="E40" s="23" t="inlineStr"/>
      <c r="F40" s="23" t="inlineStr"/>
      <c r="G40" s="23" t="inlineStr">
        <is>
          <t>結婚祝金が出る会社が多い。申請しないと出ない</t>
        </is>
      </c>
      <c r="H40" s="38" t="n">
        <v>13</v>
      </c>
      <c r="I40" s="40">
        <f>EDATE('はじめに'!$C$5,H40)</f>
        <v/>
      </c>
      <c r="J40" s="38" t="inlineStr">
        <is>
          <t>法定</t>
        </is>
      </c>
      <c r="K40" s="38" t="inlineStr">
        <is>
          <t>2人</t>
        </is>
      </c>
      <c r="L40" s="23" t="inlineStr">
        <is>
          <t>-</t>
        </is>
      </c>
      <c r="M40" s="38" t="inlineStr">
        <is>
          <t>P4-05</t>
        </is>
      </c>
      <c r="N40" s="37" t="inlineStr">
        <is>
          <t>未着手</t>
        </is>
      </c>
      <c r="O40" s="27" t="inlineStr"/>
    </row>
    <row r="41" ht="62" customHeight="1">
      <c r="A41" s="32" t="inlineStr">
        <is>
          <t>P4-07</t>
        </is>
      </c>
      <c r="B41" s="32" t="inlineStr">
        <is>
          <t>P4</t>
        </is>
      </c>
      <c r="C41" s="33" t="inlineStr">
        <is>
          <t>手続き</t>
        </is>
      </c>
      <c r="D41" s="34" t="inlineStr">
        <is>
          <t>健康保険証・年金の変更</t>
        </is>
      </c>
      <c r="E41" s="35" t="inlineStr"/>
      <c r="F41" s="35" t="inlineStr"/>
      <c r="G41" s="35" t="inlineStr">
        <is>
          <t>勤務先経由。マイナ保険証の情報も更新される</t>
        </is>
      </c>
      <c r="H41" s="32" t="n">
        <v>13</v>
      </c>
      <c r="I41" s="36">
        <f>EDATE('はじめに'!$C$5,H41)</f>
        <v/>
      </c>
      <c r="J41" s="32" t="inlineStr">
        <is>
          <t>法定</t>
        </is>
      </c>
      <c r="K41" s="32" t="inlineStr">
        <is>
          <t>2人</t>
        </is>
      </c>
      <c r="L41" s="35" t="inlineStr">
        <is>
          <t>-</t>
        </is>
      </c>
      <c r="M41" s="32" t="inlineStr">
        <is>
          <t>P4-06</t>
        </is>
      </c>
      <c r="N41" s="37" t="inlineStr">
        <is>
          <t>未着手</t>
        </is>
      </c>
      <c r="O41" s="27" t="inlineStr"/>
    </row>
    <row r="42" ht="62" customHeight="1">
      <c r="A42" s="38" t="inlineStr">
        <is>
          <t>P4-08</t>
        </is>
      </c>
      <c r="B42" s="38" t="inlineStr">
        <is>
          <t>P4</t>
        </is>
      </c>
      <c r="C42" s="21" t="inlineStr">
        <is>
          <t>手続き</t>
        </is>
      </c>
      <c r="D42" s="39" t="inlineStr">
        <is>
          <t>運転免許証の氏名・住所変更</t>
        </is>
      </c>
      <c r="E42" s="23" t="inlineStr"/>
      <c r="F42" s="23" t="inlineStr">
        <is>
          <t>警察署／運転免許センター</t>
        </is>
      </c>
      <c r="G42" s="23" t="inlineStr">
        <is>
          <t>本人確認書類の起点なので最初にやる</t>
        </is>
      </c>
      <c r="H42" s="38" t="n">
        <v>13</v>
      </c>
      <c r="I42" s="40">
        <f>EDATE('はじめに'!$C$5,H42)</f>
        <v/>
      </c>
      <c r="J42" s="38" t="inlineStr">
        <is>
          <t>法定</t>
        </is>
      </c>
      <c r="K42" s="38" t="inlineStr">
        <is>
          <t>改姓側</t>
        </is>
      </c>
      <c r="L42" s="23" t="inlineStr">
        <is>
          <t>-</t>
        </is>
      </c>
      <c r="M42" s="38" t="inlineStr">
        <is>
          <t>P4-05</t>
        </is>
      </c>
      <c r="N42" s="37" t="inlineStr">
        <is>
          <t>未着手</t>
        </is>
      </c>
      <c r="O42" s="27" t="inlineStr"/>
    </row>
    <row r="43" ht="62" customHeight="1">
      <c r="A43" s="32" t="inlineStr">
        <is>
          <t>P4-09</t>
        </is>
      </c>
      <c r="B43" s="32" t="inlineStr">
        <is>
          <t>P4</t>
        </is>
      </c>
      <c r="C43" s="33" t="inlineStr">
        <is>
          <t>手続き</t>
        </is>
      </c>
      <c r="D43" s="34" t="inlineStr">
        <is>
          <t>マイナンバーカードの記載事項変更</t>
        </is>
      </c>
      <c r="E43" s="35" t="inlineStr"/>
      <c r="F43" s="35" t="inlineStr"/>
      <c r="G43" s="35" t="inlineStr">
        <is>
          <t>住所・氏名の追記。90日以内</t>
        </is>
      </c>
      <c r="H43" s="32" t="n">
        <v>13</v>
      </c>
      <c r="I43" s="36">
        <f>EDATE('はじめに'!$C$5,H43)</f>
        <v/>
      </c>
      <c r="J43" s="32" t="inlineStr">
        <is>
          <t>法定</t>
        </is>
      </c>
      <c r="K43" s="32" t="inlineStr">
        <is>
          <t>改姓側</t>
        </is>
      </c>
      <c r="L43" s="35" t="inlineStr">
        <is>
          <t>-</t>
        </is>
      </c>
      <c r="M43" s="32" t="inlineStr">
        <is>
          <t>P4-04</t>
        </is>
      </c>
      <c r="N43" s="37" t="inlineStr">
        <is>
          <t>未着手</t>
        </is>
      </c>
      <c r="O43" s="27" t="inlineStr"/>
    </row>
    <row r="44" ht="62" customHeight="1">
      <c r="A44" s="38" t="inlineStr">
        <is>
          <t>P4-10</t>
        </is>
      </c>
      <c r="B44" s="38" t="inlineStr">
        <is>
          <t>P4</t>
        </is>
      </c>
      <c r="C44" s="21" t="inlineStr">
        <is>
          <t>手続き</t>
        </is>
      </c>
      <c r="D44" s="39" t="inlineStr">
        <is>
          <t>パスポートの氏名変更</t>
        </is>
      </c>
      <c r="E44" s="23" t="inlineStr">
        <is>
          <t>新婚旅行の予約名義と一致しているか</t>
        </is>
      </c>
      <c r="F44" s="23" t="inlineStr">
        <is>
          <t>記載事項変更／新規発給</t>
        </is>
      </c>
      <c r="G44" s="23" t="inlineStr">
        <is>
          <t>**最大の落とし穴。航空券の名義とパスポートが1文字でも違うと搭乗できない**。旅行を予約する前に確認</t>
        </is>
      </c>
      <c r="H44" s="38" t="n">
        <v>13</v>
      </c>
      <c r="I44" s="40">
        <f>EDATE('はじめに'!$C$5,H44)</f>
        <v/>
      </c>
      <c r="J44" s="38" t="inlineStr">
        <is>
          <t>法定</t>
        </is>
      </c>
      <c r="K44" s="38" t="inlineStr">
        <is>
          <t>改姓側</t>
        </is>
      </c>
      <c r="L44" s="23" t="inlineStr">
        <is>
          <t>6,000〜16,000円</t>
        </is>
      </c>
      <c r="M44" s="38" t="inlineStr">
        <is>
          <t>P4-08</t>
        </is>
      </c>
      <c r="N44" s="37" t="inlineStr">
        <is>
          <t>未着手</t>
        </is>
      </c>
      <c r="O44" s="27" t="inlineStr"/>
    </row>
    <row r="45" ht="62" customHeight="1">
      <c r="A45" s="32" t="inlineStr">
        <is>
          <t>P4-11</t>
        </is>
      </c>
      <c r="B45" s="32" t="inlineStr">
        <is>
          <t>P4</t>
        </is>
      </c>
      <c r="C45" s="33" t="inlineStr">
        <is>
          <t>手続き</t>
        </is>
      </c>
      <c r="D45" s="34" t="inlineStr">
        <is>
          <t>銀行・クレジットカード・証券口座の名義変更</t>
        </is>
      </c>
      <c r="E45" s="35" t="inlineStr"/>
      <c r="F45" s="35" t="inlineStr"/>
      <c r="G45" s="35" t="inlineStr">
        <is>
          <t>住宅ローンや家賃引落の口座を先に。**証券口座は手続きが重い**</t>
        </is>
      </c>
      <c r="H45" s="32" t="n">
        <v>13</v>
      </c>
      <c r="I45" s="36">
        <f>EDATE('はじめに'!$C$5,H45)</f>
        <v/>
      </c>
      <c r="J45" s="32" t="inlineStr">
        <is>
          <t>推奨</t>
        </is>
      </c>
      <c r="K45" s="32" t="inlineStr">
        <is>
          <t>改姓側</t>
        </is>
      </c>
      <c r="L45" s="35" t="inlineStr">
        <is>
          <t>-</t>
        </is>
      </c>
      <c r="M45" s="32" t="inlineStr">
        <is>
          <t>P4-08</t>
        </is>
      </c>
      <c r="N45" s="37" t="inlineStr">
        <is>
          <t>未着手</t>
        </is>
      </c>
      <c r="O45" s="27" t="inlineStr"/>
    </row>
    <row r="46" ht="62" customHeight="1">
      <c r="A46" s="38" t="inlineStr">
        <is>
          <t>P4-12</t>
        </is>
      </c>
      <c r="B46" s="38" t="inlineStr">
        <is>
          <t>P4</t>
        </is>
      </c>
      <c r="C46" s="21" t="inlineStr">
        <is>
          <t>手続き</t>
        </is>
      </c>
      <c r="D46" s="39" t="inlineStr">
        <is>
          <t>生命保険の受取人を配偶者に変更する</t>
        </is>
      </c>
      <c r="E46" s="23" t="inlineStr"/>
      <c r="F46" s="23" t="inlineStr"/>
      <c r="G46" s="23" t="inlineStr">
        <is>
          <t>**忘れられやすい。独身時代のまま親が受取人になっていることが多い**</t>
        </is>
      </c>
      <c r="H46" s="38" t="n">
        <v>13</v>
      </c>
      <c r="I46" s="40">
        <f>EDATE('はじめに'!$C$5,H46)</f>
        <v/>
      </c>
      <c r="J46" s="38" t="inlineStr">
        <is>
          <t>推奨</t>
        </is>
      </c>
      <c r="K46" s="38" t="inlineStr">
        <is>
          <t>2人</t>
        </is>
      </c>
      <c r="L46" s="23" t="inlineStr">
        <is>
          <t>-</t>
        </is>
      </c>
      <c r="M46" s="38" t="inlineStr">
        <is>
          <t>P4-05</t>
        </is>
      </c>
      <c r="N46" s="37" t="inlineStr">
        <is>
          <t>未着手</t>
        </is>
      </c>
      <c r="O46" s="27" t="inlineStr"/>
    </row>
    <row r="47" ht="62" customHeight="1">
      <c r="A47" s="32" t="inlineStr">
        <is>
          <t>P4-13</t>
        </is>
      </c>
      <c r="B47" s="32" t="inlineStr">
        <is>
          <t>P4</t>
        </is>
      </c>
      <c r="C47" s="33" t="inlineStr">
        <is>
          <t>手続き</t>
        </is>
      </c>
      <c r="D47" s="34" t="inlineStr">
        <is>
          <t>サブスク・通販・公共料金・携帯の名義変更</t>
        </is>
      </c>
      <c r="E47" s="35" t="inlineStr"/>
      <c r="F47" s="35" t="inlineStr"/>
      <c r="G47" s="35" t="inlineStr">
        <is>
          <t>リスト化して一気に潰す。改姓側に集中するので2人で分担する</t>
        </is>
      </c>
      <c r="H47" s="32" t="n">
        <v>13</v>
      </c>
      <c r="I47" s="36">
        <f>EDATE('はじめに'!$C$5,H47)</f>
        <v/>
      </c>
      <c r="J47" s="32" t="inlineStr">
        <is>
          <t>任意</t>
        </is>
      </c>
      <c r="K47" s="32" t="inlineStr">
        <is>
          <t>2人</t>
        </is>
      </c>
      <c r="L47" s="35" t="inlineStr">
        <is>
          <t>-</t>
        </is>
      </c>
      <c r="M47" s="32" t="inlineStr">
        <is>
          <t>P4-08</t>
        </is>
      </c>
      <c r="N47" s="37" t="inlineStr">
        <is>
          <t>未着手</t>
        </is>
      </c>
      <c r="O47" s="27" t="inlineStr"/>
    </row>
    <row r="48" ht="62" customHeight="1">
      <c r="A48" s="38" t="inlineStr">
        <is>
          <t>P4-14</t>
        </is>
      </c>
      <c r="B48" s="38" t="inlineStr">
        <is>
          <t>P4</t>
        </is>
      </c>
      <c r="C48" s="21" t="inlineStr">
        <is>
          <t>手続き</t>
        </is>
      </c>
      <c r="D48" s="39" t="inlineStr">
        <is>
          <t>新姓の印鑑作成と印鑑登録</t>
        </is>
      </c>
      <c r="E48" s="23" t="inlineStr">
        <is>
          <t>実印を作るか</t>
        </is>
      </c>
      <c r="F48" s="23" t="inlineStr"/>
      <c r="G48" s="23" t="inlineStr">
        <is>
          <t>住宅購入や車購入の予定があれば必要</t>
        </is>
      </c>
      <c r="H48" s="38" t="n">
        <v>13</v>
      </c>
      <c r="I48" s="40">
        <f>EDATE('はじめに'!$C$5,H48)</f>
        <v/>
      </c>
      <c r="J48" s="38" t="inlineStr">
        <is>
          <t>任意</t>
        </is>
      </c>
      <c r="K48" s="38" t="inlineStr">
        <is>
          <t>改姓側</t>
        </is>
      </c>
      <c r="L48" s="23" t="inlineStr">
        <is>
          <t>5,000〜2万円</t>
        </is>
      </c>
      <c r="M48" s="38" t="inlineStr">
        <is>
          <t>P4-04</t>
        </is>
      </c>
      <c r="N48" s="37" t="inlineStr">
        <is>
          <t>未着手</t>
        </is>
      </c>
      <c r="O48" s="27" t="inlineStr"/>
    </row>
    <row r="49" ht="62" customHeight="1">
      <c r="A49" s="32" t="inlineStr">
        <is>
          <t>P5-01</t>
        </is>
      </c>
      <c r="B49" s="32" t="inlineStr">
        <is>
          <t>P5</t>
        </is>
      </c>
      <c r="C49" s="33" t="inlineStr">
        <is>
          <t>結婚式</t>
        </is>
      </c>
      <c r="D49" s="34" t="inlineStr">
        <is>
          <t>式のスタイルと規模を確定する</t>
        </is>
      </c>
      <c r="E49" s="35" t="inlineStr">
        <is>
          <t>招待人数と形式</t>
        </is>
      </c>
      <c r="F49" s="35" t="inlineStr">
        <is>
          <t>教会式／人前式／神前式／会費制</t>
        </is>
      </c>
      <c r="G49" s="35" t="inlineStr">
        <is>
          <t>人数が費用のほぼ全て（1人あたり2〜3万円）</t>
        </is>
      </c>
      <c r="H49" s="32" t="n">
        <v>12</v>
      </c>
      <c r="I49" s="36">
        <f>EDATE('はじめに'!$C$5,H49)</f>
        <v/>
      </c>
      <c r="J49" s="32" t="inlineStr">
        <is>
          <t>推奨</t>
        </is>
      </c>
      <c r="K49" s="32" t="inlineStr">
        <is>
          <t>2人</t>
        </is>
      </c>
      <c r="L49" s="35" t="inlineStr">
        <is>
          <t>-</t>
        </is>
      </c>
      <c r="M49" s="32" t="inlineStr">
        <is>
          <t>P3-08</t>
        </is>
      </c>
      <c r="N49" s="37" t="inlineStr">
        <is>
          <t>未着手</t>
        </is>
      </c>
      <c r="O49" s="27" t="inlineStr"/>
    </row>
    <row r="50" ht="62" customHeight="1">
      <c r="A50" s="38" t="inlineStr">
        <is>
          <t>P5-02</t>
        </is>
      </c>
      <c r="B50" s="38" t="inlineStr">
        <is>
          <t>P5</t>
        </is>
      </c>
      <c r="C50" s="21" t="inlineStr">
        <is>
          <t>結婚式</t>
        </is>
      </c>
      <c r="D50" s="39" t="inlineStr">
        <is>
          <t>日取りを決める</t>
        </is>
      </c>
      <c r="E50" s="23" t="inlineStr">
        <is>
          <t>妊活の開始時期とどう並べるか</t>
        </is>
      </c>
      <c r="F50" s="23" t="inlineStr">
        <is>
          <t>式→妊活／妊活と並行／妊娠中に式（マタニティウェディング）</t>
        </is>
      </c>
      <c r="G50" s="23" t="inlineStr">
        <is>
          <t>**式を待つと妊活の開始が半年〜1年遅れる**。年齢によってはこの遅れが決定的になるので、優先順位を明示的に決める</t>
        </is>
      </c>
      <c r="H50" s="38" t="n">
        <v>12</v>
      </c>
      <c r="I50" s="40">
        <f>EDATE('はじめに'!$C$5,H50)</f>
        <v/>
      </c>
      <c r="J50" s="38" t="inlineStr">
        <is>
          <t>推奨</t>
        </is>
      </c>
      <c r="K50" s="38" t="inlineStr">
        <is>
          <t>2人</t>
        </is>
      </c>
      <c r="L50" s="23" t="inlineStr">
        <is>
          <t>-</t>
        </is>
      </c>
      <c r="M50" s="38" t="inlineStr">
        <is>
          <t>P5-01</t>
        </is>
      </c>
      <c r="N50" s="37" t="inlineStr">
        <is>
          <t>未着手</t>
        </is>
      </c>
      <c r="O50" s="27" t="inlineStr"/>
    </row>
    <row r="51" ht="62" customHeight="1">
      <c r="A51" s="32" t="inlineStr">
        <is>
          <t>P5-03</t>
        </is>
      </c>
      <c r="B51" s="32" t="inlineStr">
        <is>
          <t>P5</t>
        </is>
      </c>
      <c r="C51" s="33" t="inlineStr">
        <is>
          <t>結婚式</t>
        </is>
      </c>
      <c r="D51" s="34" t="inlineStr">
        <is>
          <t>会場探しのチャネルを決める</t>
        </is>
      </c>
      <c r="E51" s="35" t="inlineStr">
        <is>
          <t>どこ経由で申し込むか</t>
        </is>
      </c>
      <c r="F51" s="35" t="inlineStr">
        <is>
          <t>ゼクシィ／ハナユメ／マイナビウエディング／トキハナ／みんなのウェディング／式場探しカウンター（対面相談）</t>
        </is>
      </c>
      <c r="G51" s="35" t="inlineStr">
        <is>
          <t>**同じ会場でもチャネルによって特典・割引が違う**。来館特典（商品券）目当ての比較も可。持ち込み料の扱いを必ず確認</t>
        </is>
      </c>
      <c r="H51" s="32" t="n">
        <v>12</v>
      </c>
      <c r="I51" s="36">
        <f>EDATE('はじめに'!$C$5,H51)</f>
        <v/>
      </c>
      <c r="J51" s="32" t="inlineStr">
        <is>
          <t>推奨</t>
        </is>
      </c>
      <c r="K51" s="32" t="inlineStr">
        <is>
          <t>2人</t>
        </is>
      </c>
      <c r="L51" s="35" t="inlineStr">
        <is>
          <t>-</t>
        </is>
      </c>
      <c r="M51" s="32" t="inlineStr">
        <is>
          <t>P5-01</t>
        </is>
      </c>
      <c r="N51" s="37" t="inlineStr">
        <is>
          <t>未着手</t>
        </is>
      </c>
      <c r="O51" s="27" t="inlineStr"/>
    </row>
    <row r="52" ht="62" customHeight="1">
      <c r="A52" s="38" t="inlineStr">
        <is>
          <t>P5-04</t>
        </is>
      </c>
      <c r="B52" s="38" t="inlineStr">
        <is>
          <t>P5</t>
        </is>
      </c>
      <c r="C52" s="21" t="inlineStr">
        <is>
          <t>結婚式</t>
        </is>
      </c>
      <c r="D52" s="39" t="inlineStr">
        <is>
          <t>会場見学（3〜5件）とフェア参加</t>
        </is>
      </c>
      <c r="E52" s="23" t="inlineStr">
        <is>
          <t>どこまで比較するか</t>
        </is>
      </c>
      <c r="F52" s="23" t="inlineStr"/>
      <c r="G52" s="23" t="inlineStr">
        <is>
          <t>**初回見積は必ず最低ラインで出てくる**。同条件で比較するために「見積の前提（人数・料理・装花ランク）」を揃える</t>
        </is>
      </c>
      <c r="H52" s="38" t="n">
        <v>13</v>
      </c>
      <c r="I52" s="40">
        <f>EDATE('はじめに'!$C$5,H52)</f>
        <v/>
      </c>
      <c r="J52" s="38" t="inlineStr">
        <is>
          <t>推奨</t>
        </is>
      </c>
      <c r="K52" s="38" t="inlineStr">
        <is>
          <t>2人</t>
        </is>
      </c>
      <c r="L52" s="23" t="inlineStr">
        <is>
          <t>-</t>
        </is>
      </c>
      <c r="M52" s="38" t="inlineStr">
        <is>
          <t>P5-03</t>
        </is>
      </c>
      <c r="N52" s="37" t="inlineStr">
        <is>
          <t>未着手</t>
        </is>
      </c>
      <c r="O52" s="27" t="inlineStr"/>
    </row>
    <row r="53" ht="62" customHeight="1">
      <c r="A53" s="32" t="inlineStr">
        <is>
          <t>P5-05</t>
        </is>
      </c>
      <c r="B53" s="32" t="inlineStr">
        <is>
          <t>P5</t>
        </is>
      </c>
      <c r="C53" s="33" t="inlineStr">
        <is>
          <t>結婚式</t>
        </is>
      </c>
      <c r="D53" s="34" t="inlineStr">
        <is>
          <t>会場の成約・内金の支払い</t>
        </is>
      </c>
      <c r="E53" s="35" t="inlineStr">
        <is>
          <t>キャンセル規定を読んだか</t>
        </is>
      </c>
      <c r="F53" s="35" t="inlineStr"/>
      <c r="G53" s="35" t="inlineStr">
        <is>
          <t>**成約後のキャンセルは高額。内金は戻らないのが基本**</t>
        </is>
      </c>
      <c r="H53" s="32" t="n">
        <v>14</v>
      </c>
      <c r="I53" s="36">
        <f>EDATE('はじめに'!$C$5,H53)</f>
        <v/>
      </c>
      <c r="J53" s="32" t="inlineStr">
        <is>
          <t>推奨</t>
        </is>
      </c>
      <c r="K53" s="32" t="inlineStr">
        <is>
          <t>2人</t>
        </is>
      </c>
      <c r="L53" s="35" t="inlineStr">
        <is>
          <t>10〜20万円</t>
        </is>
      </c>
      <c r="M53" s="32" t="inlineStr">
        <is>
          <t>P5-04</t>
        </is>
      </c>
      <c r="N53" s="37" t="inlineStr">
        <is>
          <t>未着手</t>
        </is>
      </c>
      <c r="O53" s="27" t="inlineStr"/>
    </row>
    <row r="54" ht="62" customHeight="1">
      <c r="A54" s="38" t="inlineStr">
        <is>
          <t>P5-06</t>
        </is>
      </c>
      <c r="B54" s="38" t="inlineStr">
        <is>
          <t>P5</t>
        </is>
      </c>
      <c r="C54" s="21" t="inlineStr">
        <is>
          <t>結婚式</t>
        </is>
      </c>
      <c r="D54" s="39" t="inlineStr">
        <is>
          <t>最終見積の増額を織り込んだ予算表を作る</t>
        </is>
      </c>
      <c r="E54" s="23" t="inlineStr">
        <is>
          <t>どこまで増えたら止めるか</t>
        </is>
      </c>
      <c r="F54" s="23" t="inlineStr"/>
      <c r="G54" s="23" t="inlineStr">
        <is>
          <t>**初回見積から+80〜150万円が相場**。上限額を先に決めて、超えたら削る項目の優先順位を作っておく</t>
        </is>
      </c>
      <c r="H54" s="38" t="n">
        <v>14</v>
      </c>
      <c r="I54" s="40">
        <f>EDATE('はじめに'!$C$5,H54)</f>
        <v/>
      </c>
      <c r="J54" s="38" t="inlineStr">
        <is>
          <t>推奨</t>
        </is>
      </c>
      <c r="K54" s="38" t="inlineStr">
        <is>
          <t>2人</t>
        </is>
      </c>
      <c r="L54" s="23" t="inlineStr">
        <is>
          <t>-</t>
        </is>
      </c>
      <c r="M54" s="38" t="inlineStr">
        <is>
          <t>P5-05</t>
        </is>
      </c>
      <c r="N54" s="37" t="inlineStr">
        <is>
          <t>未着手</t>
        </is>
      </c>
      <c r="O54" s="27" t="inlineStr"/>
    </row>
    <row r="55" ht="62" customHeight="1">
      <c r="A55" s="32" t="inlineStr">
        <is>
          <t>P5-07</t>
        </is>
      </c>
      <c r="B55" s="32" t="inlineStr">
        <is>
          <t>P5</t>
        </is>
      </c>
      <c r="C55" s="33" t="inlineStr">
        <is>
          <t>結婚式</t>
        </is>
      </c>
      <c r="D55" s="34" t="inlineStr">
        <is>
          <t>招待客リストを作る</t>
        </is>
      </c>
      <c r="E55" s="35" t="inlineStr">
        <is>
          <t>両家の人数バランス、職場をどこまで呼ぶか、親族の範囲</t>
        </is>
      </c>
      <c r="F55" s="35" t="inlineStr"/>
      <c r="G55" s="35" t="inlineStr">
        <is>
          <t>**両家で揉める代表格**。「誰を呼ぶか」は各自が自分の側を決め、人数だけ揃える方式にすると衝突が減る</t>
        </is>
      </c>
      <c r="H55" s="32" t="n">
        <v>14</v>
      </c>
      <c r="I55" s="36">
        <f>EDATE('はじめに'!$C$5,H55)</f>
        <v/>
      </c>
      <c r="J55" s="32" t="inlineStr">
        <is>
          <t>推奨</t>
        </is>
      </c>
      <c r="K55" s="32" t="inlineStr">
        <is>
          <t>2人</t>
        </is>
      </c>
      <c r="L55" s="35" t="inlineStr">
        <is>
          <t>-</t>
        </is>
      </c>
      <c r="M55" s="32" t="inlineStr">
        <is>
          <t>P5-05</t>
        </is>
      </c>
      <c r="N55" s="37" t="inlineStr">
        <is>
          <t>未着手</t>
        </is>
      </c>
      <c r="O55" s="27" t="inlineStr"/>
    </row>
    <row r="56" ht="62" customHeight="1">
      <c r="A56" s="38" t="inlineStr">
        <is>
          <t>P5-08</t>
        </is>
      </c>
      <c r="B56" s="38" t="inlineStr">
        <is>
          <t>P5</t>
        </is>
      </c>
      <c r="C56" s="21" t="inlineStr">
        <is>
          <t>結婚式</t>
        </is>
      </c>
      <c r="D56" s="39" t="inlineStr">
        <is>
          <t>結婚指輪を購入する</t>
        </is>
      </c>
      <c r="E56" s="23" t="inlineStr">
        <is>
          <t>普段使いできるデザインか</t>
        </is>
      </c>
      <c r="F56" s="23" t="inlineStr">
        <is>
          <t>俄／杢目金屋／ケイウノ／4℃／アイプリモ／Tiffany／Cartier／手作り工房</t>
        </is>
      </c>
      <c r="G56" s="23" t="inlineStr">
        <is>
          <t>**納期が2〜3ヶ月。式の3ヶ月以上前に発注**。相場はペアで20〜30万円</t>
        </is>
      </c>
      <c r="H56" s="38" t="n">
        <v>14</v>
      </c>
      <c r="I56" s="40">
        <f>EDATE('はじめに'!$C$5,H56)</f>
        <v/>
      </c>
      <c r="J56" s="38" t="inlineStr">
        <is>
          <t>推奨</t>
        </is>
      </c>
      <c r="K56" s="38" t="inlineStr">
        <is>
          <t>2人</t>
        </is>
      </c>
      <c r="L56" s="23" t="inlineStr">
        <is>
          <t>20〜30万円</t>
        </is>
      </c>
      <c r="M56" s="38" t="inlineStr">
        <is>
          <t>P5-05</t>
        </is>
      </c>
      <c r="N56" s="37" t="inlineStr">
        <is>
          <t>未着手</t>
        </is>
      </c>
      <c r="O56" s="27" t="inlineStr"/>
    </row>
    <row r="57" ht="62" customHeight="1">
      <c r="A57" s="32" t="inlineStr">
        <is>
          <t>P5-09</t>
        </is>
      </c>
      <c r="B57" s="32" t="inlineStr">
        <is>
          <t>P5</t>
        </is>
      </c>
      <c r="C57" s="33" t="inlineStr">
        <is>
          <t>結婚式</t>
        </is>
      </c>
      <c r="D57" s="34" t="inlineStr">
        <is>
          <t>衣装（ドレス・タキシード）を決める</t>
        </is>
      </c>
      <c r="E57" s="35" t="inlineStr">
        <is>
          <t>提携か持ち込みか</t>
        </is>
      </c>
      <c r="F57" s="35" t="inlineStr">
        <is>
          <t>会場提携ショップ／外部レンタル（THE DRESSY、Cache Cache）／購入</t>
        </is>
      </c>
      <c r="G57" s="35" t="inlineStr">
        <is>
          <t>**持ち込み料が1点5〜10万円かかる会場がある**。提携との差額と比較</t>
        </is>
      </c>
      <c r="H57" s="32" t="n">
        <v>15</v>
      </c>
      <c r="I57" s="36">
        <f>EDATE('はじめに'!$C$5,H57)</f>
        <v/>
      </c>
      <c r="J57" s="32" t="inlineStr">
        <is>
          <t>推奨</t>
        </is>
      </c>
      <c r="K57" s="32" t="inlineStr">
        <is>
          <t>2人</t>
        </is>
      </c>
      <c r="L57" s="35" t="inlineStr">
        <is>
          <t>20〜60万円</t>
        </is>
      </c>
      <c r="M57" s="32" t="inlineStr">
        <is>
          <t>P5-05</t>
        </is>
      </c>
      <c r="N57" s="37" t="inlineStr">
        <is>
          <t>未着手</t>
        </is>
      </c>
      <c r="O57" s="27" t="inlineStr"/>
    </row>
    <row r="58" ht="62" customHeight="1">
      <c r="A58" s="38" t="inlineStr">
        <is>
          <t>P5-10</t>
        </is>
      </c>
      <c r="B58" s="38" t="inlineStr">
        <is>
          <t>P5</t>
        </is>
      </c>
      <c r="C58" s="21" t="inlineStr">
        <is>
          <t>結婚式</t>
        </is>
      </c>
      <c r="D58" s="39" t="inlineStr">
        <is>
          <t>写真・映像の手配</t>
        </is>
      </c>
      <c r="E58" s="23" t="inlineStr">
        <is>
          <t>提携カメラマンか外注か</t>
        </is>
      </c>
      <c r="F58" s="23" t="inlineStr">
        <is>
          <t>会場提携／外部カメラマン（ラヴィファクトリー、Photorait等）／前撮り・後撮り</t>
        </is>
      </c>
      <c r="G58" s="23" t="inlineStr">
        <is>
          <t>**一番後悔が残りやすい項目**。外注は持ち込み料がかかることがある</t>
        </is>
      </c>
      <c r="H58" s="38" t="n">
        <v>16</v>
      </c>
      <c r="I58" s="40">
        <f>EDATE('はじめに'!$C$5,H58)</f>
        <v/>
      </c>
      <c r="J58" s="38" t="inlineStr">
        <is>
          <t>推奨</t>
        </is>
      </c>
      <c r="K58" s="38" t="inlineStr">
        <is>
          <t>2人</t>
        </is>
      </c>
      <c r="L58" s="23" t="inlineStr">
        <is>
          <t>15〜40万円</t>
        </is>
      </c>
      <c r="M58" s="38" t="inlineStr">
        <is>
          <t>P5-05</t>
        </is>
      </c>
      <c r="N58" s="37" t="inlineStr">
        <is>
          <t>未着手</t>
        </is>
      </c>
      <c r="O58" s="27" t="inlineStr"/>
    </row>
    <row r="59" ht="62" customHeight="1">
      <c r="A59" s="32" t="inlineStr">
        <is>
          <t>P5-11</t>
        </is>
      </c>
      <c r="B59" s="32" t="inlineStr">
        <is>
          <t>P5</t>
        </is>
      </c>
      <c r="C59" s="33" t="inlineStr">
        <is>
          <t>結婚式</t>
        </is>
      </c>
      <c r="D59" s="34" t="inlineStr">
        <is>
          <t>招待状の作成・発送</t>
        </is>
      </c>
      <c r="E59" s="35" t="inlineStr">
        <is>
          <t>紙かWebか</t>
        </is>
      </c>
      <c r="F59" s="35" t="inlineStr">
        <is>
          <t>会場提携／自作／Web招待状（DEAR、Weddingday、楽々WEB招待状）</t>
        </is>
      </c>
      <c r="G59" s="35" t="inlineStr">
        <is>
          <t>Web招待状は無料〜数千円で、出欠管理と住所収集が自動化できる</t>
        </is>
      </c>
      <c r="H59" s="32" t="n">
        <v>17</v>
      </c>
      <c r="I59" s="36">
        <f>EDATE('はじめに'!$C$5,H59)</f>
        <v/>
      </c>
      <c r="J59" s="32" t="inlineStr">
        <is>
          <t>推奨</t>
        </is>
      </c>
      <c r="K59" s="32" t="inlineStr">
        <is>
          <t>2人</t>
        </is>
      </c>
      <c r="L59" s="35" t="inlineStr">
        <is>
          <t>0〜8万円</t>
        </is>
      </c>
      <c r="M59" s="32" t="inlineStr">
        <is>
          <t>P5-07</t>
        </is>
      </c>
      <c r="N59" s="37" t="inlineStr">
        <is>
          <t>未着手</t>
        </is>
      </c>
      <c r="O59" s="27" t="inlineStr"/>
    </row>
    <row r="60" ht="62" customHeight="1">
      <c r="A60" s="38" t="inlineStr">
        <is>
          <t>P5-12</t>
        </is>
      </c>
      <c r="B60" s="38" t="inlineStr">
        <is>
          <t>P5</t>
        </is>
      </c>
      <c r="C60" s="21" t="inlineStr">
        <is>
          <t>結婚式</t>
        </is>
      </c>
      <c r="D60" s="39" t="inlineStr">
        <is>
          <t>引き出物・引菓子を決める</t>
        </is>
      </c>
      <c r="E60" s="23" t="inlineStr">
        <is>
          <t>誰に何を渡すか（格差をつけるか）</t>
        </is>
      </c>
      <c r="F60" s="23" t="inlineStr">
        <is>
          <t>カタログギフト／記念品／地域の慣習品</t>
        </is>
      </c>
      <c r="G60" s="23" t="inlineStr">
        <is>
          <t>親族と友人で分ける「贈り分け」が一般的</t>
        </is>
      </c>
      <c r="H60" s="38" t="n">
        <v>18</v>
      </c>
      <c r="I60" s="40">
        <f>EDATE('はじめに'!$C$5,H60)</f>
        <v/>
      </c>
      <c r="J60" s="38" t="inlineStr">
        <is>
          <t>推奨</t>
        </is>
      </c>
      <c r="K60" s="38" t="inlineStr">
        <is>
          <t>2人</t>
        </is>
      </c>
      <c r="L60" s="23" t="inlineStr">
        <is>
          <t>1人5,000〜8,000円</t>
        </is>
      </c>
      <c r="M60" s="38" t="inlineStr">
        <is>
          <t>P5-07</t>
        </is>
      </c>
      <c r="N60" s="37" t="inlineStr">
        <is>
          <t>未着手</t>
        </is>
      </c>
      <c r="O60" s="27" t="inlineStr"/>
    </row>
    <row r="61" ht="62" customHeight="1">
      <c r="A61" s="32" t="inlineStr">
        <is>
          <t>P5-13</t>
        </is>
      </c>
      <c r="B61" s="32" t="inlineStr">
        <is>
          <t>P5</t>
        </is>
      </c>
      <c r="C61" s="33" t="inlineStr">
        <is>
          <t>結婚式</t>
        </is>
      </c>
      <c r="D61" s="34" t="inlineStr">
        <is>
          <t>席次表・席札・進行表の作成</t>
        </is>
      </c>
      <c r="E61" s="35" t="inlineStr">
        <is>
          <t>上座下座と肩書きの表記</t>
        </is>
      </c>
      <c r="F61" s="35" t="inlineStr"/>
      <c r="G61" s="35" t="inlineStr">
        <is>
          <t>**親に確認しないと事故る**（親族の序列、肩書き）</t>
        </is>
      </c>
      <c r="H61" s="32" t="n">
        <v>19</v>
      </c>
      <c r="I61" s="36">
        <f>EDATE('はじめに'!$C$5,H61)</f>
        <v/>
      </c>
      <c r="J61" s="32" t="inlineStr">
        <is>
          <t>推奨</t>
        </is>
      </c>
      <c r="K61" s="32" t="inlineStr">
        <is>
          <t>2人</t>
        </is>
      </c>
      <c r="L61" s="35" t="inlineStr">
        <is>
          <t>-</t>
        </is>
      </c>
      <c r="M61" s="32" t="inlineStr">
        <is>
          <t>P5-07</t>
        </is>
      </c>
      <c r="N61" s="37" t="inlineStr">
        <is>
          <t>未着手</t>
        </is>
      </c>
      <c r="O61" s="27" t="inlineStr"/>
    </row>
    <row r="62" ht="62" customHeight="1">
      <c r="A62" s="38" t="inlineStr">
        <is>
          <t>P5-14</t>
        </is>
      </c>
      <c r="B62" s="38" t="inlineStr">
        <is>
          <t>P5</t>
        </is>
      </c>
      <c r="C62" s="21" t="inlineStr">
        <is>
          <t>結婚式</t>
        </is>
      </c>
      <c r="D62" s="39" t="inlineStr">
        <is>
          <t>演出・BGM・余興の決定</t>
        </is>
      </c>
      <c r="E62" s="23" t="inlineStr">
        <is>
          <t>余興を頼むか</t>
        </is>
      </c>
      <c r="F62" s="23" t="inlineStr"/>
      <c r="G62" s="23" t="inlineStr">
        <is>
          <t>友人に頼むなら3ヶ月前には依頼</t>
        </is>
      </c>
      <c r="H62" s="38" t="n">
        <v>19</v>
      </c>
      <c r="I62" s="40">
        <f>EDATE('はじめに'!$C$5,H62)</f>
        <v/>
      </c>
      <c r="J62" s="38" t="inlineStr">
        <is>
          <t>任意</t>
        </is>
      </c>
      <c r="K62" s="38" t="inlineStr">
        <is>
          <t>2人</t>
        </is>
      </c>
      <c r="L62" s="23" t="inlineStr">
        <is>
          <t>-</t>
        </is>
      </c>
      <c r="M62" s="38" t="inlineStr">
        <is>
          <t>P5-05</t>
        </is>
      </c>
      <c r="N62" s="37" t="inlineStr">
        <is>
          <t>未着手</t>
        </is>
      </c>
      <c r="O62" s="27" t="inlineStr"/>
    </row>
    <row r="63" ht="62" customHeight="1">
      <c r="A63" s="32" t="inlineStr">
        <is>
          <t>P5-15</t>
        </is>
      </c>
      <c r="B63" s="32" t="inlineStr">
        <is>
          <t>P5</t>
        </is>
      </c>
      <c r="C63" s="33" t="inlineStr">
        <is>
          <t>結婚式</t>
        </is>
      </c>
      <c r="D63" s="34" t="inlineStr">
        <is>
          <t>ヘアメイクのリハーサル</t>
        </is>
      </c>
      <c r="E63" s="35" t="inlineStr"/>
      <c r="F63" s="35" t="inlineStr"/>
      <c r="G63" s="35" t="inlineStr">
        <is>
          <t>有料のことが多い</t>
        </is>
      </c>
      <c r="H63" s="32" t="n">
        <v>19</v>
      </c>
      <c r="I63" s="36">
        <f>EDATE('はじめに'!$C$5,H63)</f>
        <v/>
      </c>
      <c r="J63" s="32" t="inlineStr">
        <is>
          <t>推奨</t>
        </is>
      </c>
      <c r="K63" s="32" t="inlineStr">
        <is>
          <t>どちらか</t>
        </is>
      </c>
      <c r="L63" s="35" t="inlineStr">
        <is>
          <t>1〜3万円</t>
        </is>
      </c>
      <c r="M63" s="32" t="inlineStr">
        <is>
          <t>P5-09</t>
        </is>
      </c>
      <c r="N63" s="37" t="inlineStr">
        <is>
          <t>未着手</t>
        </is>
      </c>
      <c r="O63" s="27" t="inlineStr"/>
    </row>
    <row r="64" ht="62" customHeight="1">
      <c r="A64" s="38" t="inlineStr">
        <is>
          <t>P5-16</t>
        </is>
      </c>
      <c r="B64" s="38" t="inlineStr">
        <is>
          <t>P5</t>
        </is>
      </c>
      <c r="C64" s="21" t="inlineStr">
        <is>
          <t>結婚式</t>
        </is>
      </c>
      <c r="D64" s="39" t="inlineStr">
        <is>
          <t>親族の宿泊・交通・お車代の手配</t>
        </is>
      </c>
      <c r="E64" s="23" t="inlineStr">
        <is>
          <t>誰にいくら包むか</t>
        </is>
      </c>
      <c r="F64" s="23" t="inlineStr"/>
      <c r="G64" s="23" t="inlineStr">
        <is>
          <t>遠方ゲストの交通費は半額〜全額が目安</t>
        </is>
      </c>
      <c r="H64" s="38" t="n">
        <v>20</v>
      </c>
      <c r="I64" s="40">
        <f>EDATE('はじめに'!$C$5,H64)</f>
        <v/>
      </c>
      <c r="J64" s="38" t="inlineStr">
        <is>
          <t>推奨</t>
        </is>
      </c>
      <c r="K64" s="38" t="inlineStr">
        <is>
          <t>2人</t>
        </is>
      </c>
      <c r="L64" s="23" t="inlineStr">
        <is>
          <t>5〜20万円</t>
        </is>
      </c>
      <c r="M64" s="38" t="inlineStr">
        <is>
          <t>P5-07</t>
        </is>
      </c>
      <c r="N64" s="37" t="inlineStr">
        <is>
          <t>未着手</t>
        </is>
      </c>
      <c r="O64" s="27" t="inlineStr"/>
    </row>
    <row r="65" ht="62" customHeight="1">
      <c r="A65" s="32" t="inlineStr">
        <is>
          <t>P5-17</t>
        </is>
      </c>
      <c r="B65" s="32" t="inlineStr">
        <is>
          <t>P5</t>
        </is>
      </c>
      <c r="C65" s="33" t="inlineStr">
        <is>
          <t>結婚式</t>
        </is>
      </c>
      <c r="D65" s="34" t="inlineStr">
        <is>
          <t>準備タスクの分担表を作り、進捗を可視化する</t>
        </is>
      </c>
      <c r="E65" s="35" t="inlineStr">
        <is>
          <t>どちらが何を担当するか</t>
        </is>
      </c>
      <c r="F65" s="35" t="inlineStr"/>
      <c r="G65" s="35" t="inlineStr">
        <is>
          <t>**準備の偏りは結婚式最大の関係リスク**。「決めるのは2人、動くのは分担」を明文化。片方が丸投げに見える構造を先に潰す</t>
        </is>
      </c>
      <c r="H65" s="32" t="n">
        <v>13</v>
      </c>
      <c r="I65" s="36">
        <f>EDATE('はじめに'!$C$5,H65)</f>
        <v/>
      </c>
      <c r="J65" s="32" t="inlineStr">
        <is>
          <t>推奨</t>
        </is>
      </c>
      <c r="K65" s="32" t="inlineStr">
        <is>
          <t>2人</t>
        </is>
      </c>
      <c r="L65" s="35" t="inlineStr">
        <is>
          <t>-</t>
        </is>
      </c>
      <c r="M65" s="32" t="inlineStr">
        <is>
          <t>P5-05</t>
        </is>
      </c>
      <c r="N65" s="37" t="inlineStr">
        <is>
          <t>未着手</t>
        </is>
      </c>
      <c r="O65" s="27" t="inlineStr"/>
    </row>
    <row r="66" ht="62" customHeight="1">
      <c r="A66" s="38" t="inlineStr">
        <is>
          <t>P5-18</t>
        </is>
      </c>
      <c r="B66" s="38" t="inlineStr">
        <is>
          <t>P5</t>
        </is>
      </c>
      <c r="C66" s="21" t="inlineStr">
        <is>
          <t>結婚式</t>
        </is>
      </c>
      <c r="D66" s="39" t="inlineStr">
        <is>
          <t>新婚旅行の計画・予約</t>
        </is>
      </c>
      <c r="E66" s="23" t="inlineStr">
        <is>
          <t>妊活・妊娠と重ならないか、渡航先は安全か</t>
        </is>
      </c>
      <c r="F66" s="23" t="inlineStr">
        <is>
          <t>国内／ハワイ・グアム／ヨーロッパ／モルディブ等</t>
        </is>
      </c>
      <c r="G66" s="23" t="inlineStr">
        <is>
          <t>**ジカ熱の流行地域は妊活中・妊娠中は回避**。妊娠中は安定期のみ、航空会社の搭乗制限（28週以降は診断書等）と海外旅行保険の妊娠関連免責を確認</t>
        </is>
      </c>
      <c r="H66" s="38" t="n">
        <v>20</v>
      </c>
      <c r="I66" s="40">
        <f>EDATE('はじめに'!$C$5,H66)</f>
        <v/>
      </c>
      <c r="J66" s="38" t="inlineStr">
        <is>
          <t>任意</t>
        </is>
      </c>
      <c r="K66" s="38" t="inlineStr">
        <is>
          <t>2人</t>
        </is>
      </c>
      <c r="L66" s="23" t="inlineStr">
        <is>
          <t>40〜120万円</t>
        </is>
      </c>
      <c r="M66" s="38" t="inlineStr">
        <is>
          <t>P4-10</t>
        </is>
      </c>
      <c r="N66" s="37" t="inlineStr">
        <is>
          <t>未着手</t>
        </is>
      </c>
      <c r="O66" s="27" t="inlineStr"/>
    </row>
    <row r="67" ht="62" customHeight="1">
      <c r="A67" s="32" t="inlineStr">
        <is>
          <t>P5-19</t>
        </is>
      </c>
      <c r="B67" s="32" t="inlineStr">
        <is>
          <t>P5</t>
        </is>
      </c>
      <c r="C67" s="33" t="inlineStr">
        <is>
          <t>結婚式</t>
        </is>
      </c>
      <c r="D67" s="34" t="inlineStr">
        <is>
          <t>最終打ち合わせ・最終人数の確定・支払い</t>
        </is>
      </c>
      <c r="E67" s="35" t="inlineStr"/>
      <c r="F67" s="35" t="inlineStr"/>
      <c r="G67" s="35" t="inlineStr">
        <is>
          <t>**確定後の人数変更はキャンセル料が発生**</t>
        </is>
      </c>
      <c r="H67" s="32" t="n">
        <v>20</v>
      </c>
      <c r="I67" s="36">
        <f>EDATE('はじめに'!$C$5,H67)</f>
        <v/>
      </c>
      <c r="J67" s="32" t="inlineStr">
        <is>
          <t>推奨</t>
        </is>
      </c>
      <c r="K67" s="32" t="inlineStr">
        <is>
          <t>2人</t>
        </is>
      </c>
      <c r="L67" s="35" t="inlineStr">
        <is>
          <t>-</t>
        </is>
      </c>
      <c r="M67" s="32" t="inlineStr">
        <is>
          <t>P5-06</t>
        </is>
      </c>
      <c r="N67" s="37" t="inlineStr">
        <is>
          <t>未着手</t>
        </is>
      </c>
      <c r="O67" s="27" t="inlineStr"/>
    </row>
    <row r="68" ht="62" customHeight="1">
      <c r="A68" s="38" t="inlineStr">
        <is>
          <t>P6-01</t>
        </is>
      </c>
      <c r="B68" s="38" t="inlineStr">
        <is>
          <t>P6</t>
        </is>
      </c>
      <c r="C68" s="21" t="inlineStr">
        <is>
          <t>結婚式</t>
        </is>
      </c>
      <c r="D68" s="39" t="inlineStr">
        <is>
          <t>前日準備（持ち物・お車代・心付けの封入）</t>
        </is>
      </c>
      <c r="E68" s="23" t="inlineStr"/>
      <c r="F68" s="23" t="inlineStr"/>
      <c r="G68" s="23" t="inlineStr">
        <is>
          <t>当日は本人が動けないので前日に完成させる</t>
        </is>
      </c>
      <c r="H68" s="38" t="n">
        <v>21</v>
      </c>
      <c r="I68" s="40">
        <f>EDATE('はじめに'!$C$5,H68)</f>
        <v/>
      </c>
      <c r="J68" s="38" t="inlineStr">
        <is>
          <t>推奨</t>
        </is>
      </c>
      <c r="K68" s="38" t="inlineStr">
        <is>
          <t>2人</t>
        </is>
      </c>
      <c r="L68" s="23" t="inlineStr">
        <is>
          <t>-</t>
        </is>
      </c>
      <c r="M68" s="38" t="inlineStr">
        <is>
          <t>P5-19</t>
        </is>
      </c>
      <c r="N68" s="37" t="inlineStr">
        <is>
          <t>未着手</t>
        </is>
      </c>
      <c r="O68" s="27" t="inlineStr"/>
    </row>
    <row r="69" ht="62" customHeight="1">
      <c r="A69" s="32" t="inlineStr">
        <is>
          <t>P6-02</t>
        </is>
      </c>
      <c r="B69" s="32" t="inlineStr">
        <is>
          <t>P6</t>
        </is>
      </c>
      <c r="C69" s="33" t="inlineStr">
        <is>
          <t>結婚式</t>
        </is>
      </c>
      <c r="D69" s="34" t="inlineStr">
        <is>
          <t>挙式・披露宴の実施</t>
        </is>
      </c>
      <c r="E69" s="35" t="inlineStr"/>
      <c r="F69" s="35" t="inlineStr"/>
      <c r="G69" s="35" t="inlineStr"/>
      <c r="H69" s="32" t="n">
        <v>21</v>
      </c>
      <c r="I69" s="36">
        <f>EDATE('はじめに'!$C$5,H69)</f>
        <v/>
      </c>
      <c r="J69" s="32" t="inlineStr">
        <is>
          <t>推奨</t>
        </is>
      </c>
      <c r="K69" s="32" t="inlineStr">
        <is>
          <t>2人</t>
        </is>
      </c>
      <c r="L69" s="35" t="inlineStr">
        <is>
          <t>-</t>
        </is>
      </c>
      <c r="M69" s="32" t="inlineStr">
        <is>
          <t>P6-01</t>
        </is>
      </c>
      <c r="N69" s="37" t="inlineStr">
        <is>
          <t>未着手</t>
        </is>
      </c>
      <c r="O69" s="27" t="inlineStr"/>
    </row>
    <row r="70" ht="62" customHeight="1">
      <c r="A70" s="38" t="inlineStr">
        <is>
          <t>P6-03</t>
        </is>
      </c>
      <c r="B70" s="38" t="inlineStr">
        <is>
          <t>P6</t>
        </is>
      </c>
      <c r="C70" s="21" t="inlineStr">
        <is>
          <t>結婚式</t>
        </is>
      </c>
      <c r="D70" s="39" t="inlineStr">
        <is>
          <t>ご祝儀の管理と受付の依頼</t>
        </is>
      </c>
      <c r="E70" s="23" t="inlineStr">
        <is>
          <t>誰に受付を頼むか</t>
        </is>
      </c>
      <c r="F70" s="23" t="inlineStr"/>
      <c r="G70" s="23" t="inlineStr">
        <is>
          <t>現金管理なので信頼できる人に。お礼を用意</t>
        </is>
      </c>
      <c r="H70" s="38" t="n">
        <v>21</v>
      </c>
      <c r="I70" s="40">
        <f>EDATE('はじめに'!$C$5,H70)</f>
        <v/>
      </c>
      <c r="J70" s="38" t="inlineStr">
        <is>
          <t>推奨</t>
        </is>
      </c>
      <c r="K70" s="38" t="inlineStr">
        <is>
          <t>2人</t>
        </is>
      </c>
      <c r="L70" s="23" t="inlineStr">
        <is>
          <t>-</t>
        </is>
      </c>
      <c r="M70" s="38" t="inlineStr">
        <is>
          <t>P6-01</t>
        </is>
      </c>
      <c r="N70" s="37" t="inlineStr">
        <is>
          <t>未着手</t>
        </is>
      </c>
      <c r="O70" s="27" t="inlineStr"/>
    </row>
    <row r="71" ht="62" customHeight="1">
      <c r="A71" s="32" t="inlineStr">
        <is>
          <t>P6-04</t>
        </is>
      </c>
      <c r="B71" s="32" t="inlineStr">
        <is>
          <t>P6</t>
        </is>
      </c>
      <c r="C71" s="33" t="inlineStr">
        <is>
          <t>結婚式</t>
        </is>
      </c>
      <c r="D71" s="34" t="inlineStr">
        <is>
          <t>新婚旅行</t>
        </is>
      </c>
      <c r="E71" s="35" t="inlineStr"/>
      <c r="F71" s="35" t="inlineStr"/>
      <c r="G71" s="35" t="inlineStr"/>
      <c r="H71" s="32" t="n">
        <v>21</v>
      </c>
      <c r="I71" s="36">
        <f>EDATE('はじめに'!$C$5,H71)</f>
        <v/>
      </c>
      <c r="J71" s="32" t="inlineStr">
        <is>
          <t>任意</t>
        </is>
      </c>
      <c r="K71" s="32" t="inlineStr">
        <is>
          <t>2人</t>
        </is>
      </c>
      <c r="L71" s="35" t="inlineStr">
        <is>
          <t>-</t>
        </is>
      </c>
      <c r="M71" s="32" t="inlineStr">
        <is>
          <t>P5-18</t>
        </is>
      </c>
      <c r="N71" s="37" t="inlineStr">
        <is>
          <t>未着手</t>
        </is>
      </c>
      <c r="O71" s="27" t="inlineStr"/>
    </row>
    <row r="72" ht="62" customHeight="1">
      <c r="A72" s="38" t="inlineStr">
        <is>
          <t>P6-05</t>
        </is>
      </c>
      <c r="B72" s="38" t="inlineStr">
        <is>
          <t>P6</t>
        </is>
      </c>
      <c r="C72" s="21" t="inlineStr">
        <is>
          <t>結婚式</t>
        </is>
      </c>
      <c r="D72" s="39" t="inlineStr">
        <is>
          <t>内祝い・お礼状の送付</t>
        </is>
      </c>
      <c r="E72" s="23" t="inlineStr">
        <is>
          <t>誰に何を返すか</t>
        </is>
      </c>
      <c r="F72" s="23" t="inlineStr"/>
      <c r="G72" s="23" t="inlineStr">
        <is>
          <t>式に呼ばなかった人からのお祝いには半返し</t>
        </is>
      </c>
      <c r="H72" s="38" t="n">
        <v>22</v>
      </c>
      <c r="I72" s="40">
        <f>EDATE('はじめに'!$C$5,H72)</f>
        <v/>
      </c>
      <c r="J72" s="38" t="inlineStr">
        <is>
          <t>推奨</t>
        </is>
      </c>
      <c r="K72" s="38" t="inlineStr">
        <is>
          <t>2人</t>
        </is>
      </c>
      <c r="L72" s="23" t="inlineStr">
        <is>
          <t>-</t>
        </is>
      </c>
      <c r="M72" s="38" t="inlineStr">
        <is>
          <t>P6-02</t>
        </is>
      </c>
      <c r="N72" s="37" t="inlineStr">
        <is>
          <t>未着手</t>
        </is>
      </c>
      <c r="O72" s="27" t="inlineStr"/>
    </row>
    <row r="73" ht="62" customHeight="1">
      <c r="A73" s="32" t="inlineStr">
        <is>
          <t>P6-06</t>
        </is>
      </c>
      <c r="B73" s="32" t="inlineStr">
        <is>
          <t>P6</t>
        </is>
      </c>
      <c r="C73" s="33" t="inlineStr">
        <is>
          <t>結婚式</t>
        </is>
      </c>
      <c r="D73" s="34" t="inlineStr">
        <is>
          <t>写真・映像の受け取りとアルバム作成</t>
        </is>
      </c>
      <c r="E73" s="35" t="inlineStr"/>
      <c r="F73" s="35" t="inlineStr"/>
      <c r="G73" s="35" t="inlineStr">
        <is>
          <t>納品まで1〜3ヶ月</t>
        </is>
      </c>
      <c r="H73" s="32" t="n">
        <v>23</v>
      </c>
      <c r="I73" s="36">
        <f>EDATE('はじめに'!$C$5,H73)</f>
        <v/>
      </c>
      <c r="J73" s="32" t="inlineStr">
        <is>
          <t>任意</t>
        </is>
      </c>
      <c r="K73" s="32" t="inlineStr">
        <is>
          <t>2人</t>
        </is>
      </c>
      <c r="L73" s="35" t="inlineStr">
        <is>
          <t>-</t>
        </is>
      </c>
      <c r="M73" s="32" t="inlineStr">
        <is>
          <t>P6-02</t>
        </is>
      </c>
      <c r="N73" s="37" t="inlineStr">
        <is>
          <t>未着手</t>
        </is>
      </c>
      <c r="O73" s="27" t="inlineStr"/>
    </row>
    <row r="74" ht="62" customHeight="1">
      <c r="A74" s="38" t="inlineStr">
        <is>
          <t>P6-07</t>
        </is>
      </c>
      <c r="B74" s="38" t="inlineStr">
        <is>
          <t>P6</t>
        </is>
      </c>
      <c r="C74" s="21" t="inlineStr">
        <is>
          <t>お金</t>
        </is>
      </c>
      <c r="D74" s="39" t="inlineStr">
        <is>
          <t>式・旅行の精算と家計へのリセット</t>
        </is>
      </c>
      <c r="E74" s="23" t="inlineStr">
        <is>
          <t>貯蓄がいくら残ったか</t>
        </is>
      </c>
      <c r="F74" s="23" t="inlineStr"/>
      <c r="G74" s="23" t="inlineStr">
        <is>
          <t>ここから出産・育児資金の積み立てに切り替える</t>
        </is>
      </c>
      <c r="H74" s="38" t="n">
        <v>23</v>
      </c>
      <c r="I74" s="40">
        <f>EDATE('はじめに'!$C$5,H74)</f>
        <v/>
      </c>
      <c r="J74" s="38" t="inlineStr">
        <is>
          <t>推奨</t>
        </is>
      </c>
      <c r="K74" s="38" t="inlineStr">
        <is>
          <t>2人</t>
        </is>
      </c>
      <c r="L74" s="23" t="inlineStr">
        <is>
          <t>-</t>
        </is>
      </c>
      <c r="M74" s="38" t="inlineStr">
        <is>
          <t>P6-05</t>
        </is>
      </c>
      <c r="N74" s="37" t="inlineStr">
        <is>
          <t>未着手</t>
        </is>
      </c>
      <c r="O74" s="27" t="inlineStr"/>
    </row>
    <row r="75" ht="62" customHeight="1">
      <c r="A75" s="32" t="inlineStr">
        <is>
          <t>P7-01</t>
        </is>
      </c>
      <c r="B75" s="32" t="inlineStr">
        <is>
          <t>P7</t>
        </is>
      </c>
      <c r="C75" s="33" t="inlineStr">
        <is>
          <t>妊活</t>
        </is>
      </c>
      <c r="D75" s="34" t="inlineStr">
        <is>
          <t>子どもの人数・時期・（できなかった場合の）方針を話す</t>
        </is>
      </c>
      <c r="E75" s="35" t="inlineStr">
        <is>
          <t>何歳までに何人か／治療をどこまでやるか／子どもを持たない選択も含めて話せているか</t>
        </is>
      </c>
      <c r="F75" s="35" t="inlineStr"/>
      <c r="G75" s="35" t="inlineStr">
        <is>
          <t>**ここを飛ばすとP8で必ず衝突する**。「できなかったときどうするか」まで先に話しておく</t>
        </is>
      </c>
      <c r="H75" s="32" t="n">
        <v>18</v>
      </c>
      <c r="I75" s="36">
        <f>EDATE('はじめに'!$C$5,H75)</f>
        <v/>
      </c>
      <c r="J75" s="32" t="inlineStr">
        <is>
          <t>推奨</t>
        </is>
      </c>
      <c r="K75" s="32" t="inlineStr">
        <is>
          <t>2人</t>
        </is>
      </c>
      <c r="L75" s="35" t="inlineStr">
        <is>
          <t>-</t>
        </is>
      </c>
      <c r="M75" s="32" t="inlineStr"/>
      <c r="N75" s="37" t="inlineStr">
        <is>
          <t>未着手</t>
        </is>
      </c>
      <c r="O75" s="27" t="inlineStr"/>
    </row>
    <row r="76" ht="62" customHeight="1">
      <c r="A76" s="38" t="inlineStr">
        <is>
          <t>P7-02</t>
        </is>
      </c>
      <c r="B76" s="38" t="inlineStr">
        <is>
          <t>P7</t>
        </is>
      </c>
      <c r="C76" s="21" t="inlineStr">
        <is>
          <t>妊活</t>
        </is>
      </c>
      <c r="D76" s="39" t="inlineStr">
        <is>
          <t>ブライダルチェック（女性）を受ける</t>
        </is>
      </c>
      <c r="E76" s="23" t="inlineStr">
        <is>
          <t>何を調べるか</t>
        </is>
      </c>
      <c r="F76" s="23" t="inlineStr">
        <is>
          <t>経腟エコー（子宮筋腫・卵巣嚢腫）／AMH（卵巣予備能）／感染症／子宮頸がん検診／風疹抗体／甲状腺</t>
        </is>
      </c>
      <c r="G76" s="23" t="inlineStr">
        <is>
          <t>婦人科・レディースクリニック。自費で1〜3万円。**AMHは「あと何年妊娠を狙えるか」の目安になる**</t>
        </is>
      </c>
      <c r="H76" s="38" t="n">
        <v>18</v>
      </c>
      <c r="I76" s="40">
        <f>EDATE('はじめに'!$C$5,H76)</f>
        <v/>
      </c>
      <c r="J76" s="38" t="inlineStr">
        <is>
          <t>推奨</t>
        </is>
      </c>
      <c r="K76" s="38" t="inlineStr">
        <is>
          <t>妊娠する側</t>
        </is>
      </c>
      <c r="L76" s="23" t="inlineStr">
        <is>
          <t>1〜3万円</t>
        </is>
      </c>
      <c r="M76" s="38" t="inlineStr">
        <is>
          <t>P7-01</t>
        </is>
      </c>
      <c r="N76" s="37" t="inlineStr">
        <is>
          <t>未着手</t>
        </is>
      </c>
      <c r="O76" s="27" t="inlineStr"/>
    </row>
    <row r="77" ht="62" customHeight="1">
      <c r="A77" s="32" t="inlineStr">
        <is>
          <t>P7-03</t>
        </is>
      </c>
      <c r="B77" s="32" t="inlineStr">
        <is>
          <t>P7</t>
        </is>
      </c>
      <c r="C77" s="33" t="inlineStr">
        <is>
          <t>妊活</t>
        </is>
      </c>
      <c r="D77" s="34" t="inlineStr">
        <is>
          <t>精液検査（男性）を受ける</t>
        </is>
      </c>
      <c r="E77" s="35" t="inlineStr">
        <is>
          <t>受けるかどうか、どこで受けるか</t>
        </is>
      </c>
      <c r="F77" s="35" t="inlineStr">
        <is>
          <t>泌尿器科／不妊治療クリニックのブライダルチェック／自宅検査キット（Seem等、スクリーニング用）</t>
        </is>
      </c>
      <c r="G77" s="35" t="inlineStr">
        <is>
          <t>**不妊原因の約半分は男性側にある。かつ検査は5,000円前後・1回で終わる。最初にやるのが合理的**。ここを避けると P8 で必ず関係が悪化する</t>
        </is>
      </c>
      <c r="H77" s="32" t="n">
        <v>18</v>
      </c>
      <c r="I77" s="36">
        <f>EDATE('はじめに'!$C$5,H77)</f>
        <v/>
      </c>
      <c r="J77" s="32" t="inlineStr">
        <is>
          <t>推奨</t>
        </is>
      </c>
      <c r="K77" s="32" t="inlineStr">
        <is>
          <t>妊娠する側</t>
        </is>
      </c>
      <c r="L77" s="35" t="inlineStr">
        <is>
          <t>5,000〜1.5万円</t>
        </is>
      </c>
      <c r="M77" s="32" t="inlineStr">
        <is>
          <t>P7-01</t>
        </is>
      </c>
      <c r="N77" s="37" t="inlineStr">
        <is>
          <t>未着手</t>
        </is>
      </c>
      <c r="O77" s="27" t="inlineStr"/>
    </row>
    <row r="78" ht="62" customHeight="1">
      <c r="A78" s="38" t="inlineStr">
        <is>
          <t>P7-04</t>
        </is>
      </c>
      <c r="B78" s="38" t="inlineStr">
        <is>
          <t>P7</t>
        </is>
      </c>
      <c r="C78" s="21" t="inlineStr">
        <is>
          <t>妊活</t>
        </is>
      </c>
      <c r="D78" s="39" t="inlineStr">
        <is>
          <t>風疹の抗体検査とワクチン接種（2人とも）</t>
        </is>
      </c>
      <c r="E78" s="23" t="inlineStr">
        <is>
          <t>抗体価が足りているか</t>
        </is>
      </c>
      <c r="F78" s="23" t="inlineStr">
        <is>
          <t>MRワクチン／風疹単独</t>
        </is>
      </c>
      <c r="G78" s="23" t="inlineStr">
        <is>
          <t>**接種後2ヶ月は避妊が必要**なので妊活開始の3ヶ月前までに。自治体の無料検査あり。男性も家庭内感染源になる</t>
        </is>
      </c>
      <c r="H78" s="38" t="n">
        <v>18</v>
      </c>
      <c r="I78" s="40">
        <f>EDATE('はじめに'!$C$5,H78)</f>
        <v/>
      </c>
      <c r="J78" s="38" t="inlineStr">
        <is>
          <t>推奨</t>
        </is>
      </c>
      <c r="K78" s="38" t="inlineStr">
        <is>
          <t>2人</t>
        </is>
      </c>
      <c r="L78" s="23" t="inlineStr">
        <is>
          <t>0〜1万円</t>
        </is>
      </c>
      <c r="M78" s="38" t="inlineStr">
        <is>
          <t>P7-02</t>
        </is>
      </c>
      <c r="N78" s="37" t="inlineStr">
        <is>
          <t>未着手</t>
        </is>
      </c>
      <c r="O78" s="27" t="inlineStr"/>
    </row>
    <row r="79" ht="62" customHeight="1">
      <c r="A79" s="32" t="inlineStr">
        <is>
          <t>P7-05</t>
        </is>
      </c>
      <c r="B79" s="32" t="inlineStr">
        <is>
          <t>P7</t>
        </is>
      </c>
      <c r="C79" s="33" t="inlineStr">
        <is>
          <t>妊活</t>
        </is>
      </c>
      <c r="D79" s="34" t="inlineStr">
        <is>
          <t>歯科検診・治療を完了させる</t>
        </is>
      </c>
      <c r="E79" s="35" t="inlineStr"/>
      <c r="F79" s="35" t="inlineStr"/>
      <c r="G79" s="35" t="inlineStr">
        <is>
          <t>妊娠中は治療しにくい。妊娠性歯肉炎は早産リスクと関連</t>
        </is>
      </c>
      <c r="H79" s="32" t="n">
        <v>19</v>
      </c>
      <c r="I79" s="36">
        <f>EDATE('はじめに'!$C$5,H79)</f>
        <v/>
      </c>
      <c r="J79" s="32" t="inlineStr">
        <is>
          <t>推奨</t>
        </is>
      </c>
      <c r="K79" s="32" t="inlineStr">
        <is>
          <t>2人</t>
        </is>
      </c>
      <c r="L79" s="35" t="inlineStr">
        <is>
          <t>1〜5万円</t>
        </is>
      </c>
      <c r="M79" s="32" t="inlineStr"/>
      <c r="N79" s="37" t="inlineStr">
        <is>
          <t>未着手</t>
        </is>
      </c>
      <c r="O79" s="27" t="inlineStr"/>
    </row>
    <row r="80" ht="62" customHeight="1">
      <c r="A80" s="38" t="inlineStr">
        <is>
          <t>P7-06</t>
        </is>
      </c>
      <c r="B80" s="38" t="inlineStr">
        <is>
          <t>P7</t>
        </is>
      </c>
      <c r="C80" s="21" t="inlineStr">
        <is>
          <t>妊活</t>
        </is>
      </c>
      <c r="D80" s="39" t="inlineStr">
        <is>
          <t>葉酸サプリを開始する（400μg/日）</t>
        </is>
      </c>
      <c r="E80" s="23" t="inlineStr">
        <is>
          <t>どのメーカーにするか（価格差が5倍ある）</t>
        </is>
      </c>
      <c r="F80" s="23" t="inlineStr">
        <is>
          <t>エレビット（バイエル）／ベルタ葉酸／mitas／ピジョン葉酸カルシウムプラス／ディアナチュラ／DHC／ネイチャーメイド</t>
        </is>
      </c>
      <c r="G80" s="23" t="inlineStr">
        <is>
          <t>**必要なのは モノグルタミン酸型葉酸400μg。加えて鉄・ビタミンD があるとよい**。高額品と安価品で葉酸量は変わらないことが多いので、成分表で比較する。妊娠1ヶ月以上前〜妊娠12週まで</t>
        </is>
      </c>
      <c r="H80" s="38" t="n">
        <v>19</v>
      </c>
      <c r="I80" s="40">
        <f>EDATE('はじめに'!$C$5,H80)</f>
        <v/>
      </c>
      <c r="J80" s="38" t="inlineStr">
        <is>
          <t>推奨</t>
        </is>
      </c>
      <c r="K80" s="38" t="inlineStr">
        <is>
          <t>妊娠する側</t>
        </is>
      </c>
      <c r="L80" s="23" t="inlineStr">
        <is>
          <t>1,500〜5,000円/月</t>
        </is>
      </c>
      <c r="M80" s="38" t="inlineStr">
        <is>
          <t>P7-01</t>
        </is>
      </c>
      <c r="N80" s="37" t="inlineStr">
        <is>
          <t>未着手</t>
        </is>
      </c>
      <c r="O80" s="27" t="inlineStr"/>
    </row>
    <row r="81" ht="62" customHeight="1">
      <c r="A81" s="32" t="inlineStr">
        <is>
          <t>P7-07</t>
        </is>
      </c>
      <c r="B81" s="32" t="inlineStr">
        <is>
          <t>P7</t>
        </is>
      </c>
      <c r="C81" s="33" t="inlineStr">
        <is>
          <t>妊活</t>
        </is>
      </c>
      <c r="D81" s="34" t="inlineStr">
        <is>
          <t>禁煙・減酒・体重調整・カフェイン制限</t>
        </is>
      </c>
      <c r="E81" s="35" t="inlineStr"/>
      <c r="F81" s="35" t="inlineStr"/>
      <c r="G81" s="35" t="inlineStr">
        <is>
          <t>**男性の喫煙も精子に影響**。BMI 18.5〜25 が目安</t>
        </is>
      </c>
      <c r="H81" s="32" t="n">
        <v>19</v>
      </c>
      <c r="I81" s="36">
        <f>EDATE('はじめに'!$C$5,H81)</f>
        <v/>
      </c>
      <c r="J81" s="32" t="inlineStr">
        <is>
          <t>推奨</t>
        </is>
      </c>
      <c r="K81" s="32" t="inlineStr">
        <is>
          <t>2人</t>
        </is>
      </c>
      <c r="L81" s="35" t="inlineStr">
        <is>
          <t>-</t>
        </is>
      </c>
      <c r="M81" s="32" t="inlineStr"/>
      <c r="N81" s="37" t="inlineStr">
        <is>
          <t>未着手</t>
        </is>
      </c>
      <c r="O81" s="27" t="inlineStr"/>
    </row>
    <row r="82" ht="62" customHeight="1">
      <c r="A82" s="38" t="inlineStr">
        <is>
          <t>P7-08</t>
        </is>
      </c>
      <c r="B82" s="38" t="inlineStr">
        <is>
          <t>P7</t>
        </is>
      </c>
      <c r="C82" s="21" t="inlineStr">
        <is>
          <t>妊活</t>
        </is>
      </c>
      <c r="D82" s="39" t="inlineStr">
        <is>
          <t>基礎体温・排卵日の把握を始める</t>
        </is>
      </c>
      <c r="E82" s="23" t="inlineStr">
        <is>
          <t>アプリと検査薬をどうするか</t>
        </is>
      </c>
      <c r="F82" s="23" t="inlineStr">
        <is>
          <t>アプリ：ルナルナ／コウノトリ／Flo　　検査薬：ドゥーテストLHa／チェックワンLH／Pチェック</t>
        </is>
      </c>
      <c r="G82" s="23" t="inlineStr">
        <is>
          <t>基礎体温は義務化するとストレスになる。**排卵検査薬のほうが実用的**</t>
        </is>
      </c>
      <c r="H82" s="38" t="n">
        <v>19</v>
      </c>
      <c r="I82" s="40">
        <f>EDATE('はじめに'!$C$5,H82)</f>
        <v/>
      </c>
      <c r="J82" s="38" t="inlineStr">
        <is>
          <t>推奨</t>
        </is>
      </c>
      <c r="K82" s="38" t="inlineStr">
        <is>
          <t>妊娠する側</t>
        </is>
      </c>
      <c r="L82" s="23" t="inlineStr">
        <is>
          <t>2,000〜5,000円/月</t>
        </is>
      </c>
      <c r="M82" s="38" t="inlineStr"/>
      <c r="N82" s="37" t="inlineStr">
        <is>
          <t>未着手</t>
        </is>
      </c>
      <c r="O82" s="27" t="inlineStr"/>
    </row>
    <row r="83" ht="62" customHeight="1">
      <c r="A83" s="32" t="inlineStr">
        <is>
          <t>P7-09</t>
        </is>
      </c>
      <c r="B83" s="32" t="inlineStr">
        <is>
          <t>P7</t>
        </is>
      </c>
      <c r="C83" s="33" t="inlineStr">
        <is>
          <t>妊活</t>
        </is>
      </c>
      <c r="D83" s="34" t="inlineStr">
        <is>
          <t>持病・常用薬を医師に確認する</t>
        </is>
      </c>
      <c r="E83" s="35" t="inlineStr">
        <is>
          <t>妊娠可能な薬か</t>
        </is>
      </c>
      <c r="F83" s="35" t="inlineStr"/>
      <c r="G83" s="35" t="inlineStr">
        <is>
          <t>自己判断で中断しない</t>
        </is>
      </c>
      <c r="H83" s="32" t="n">
        <v>19</v>
      </c>
      <c r="I83" s="36">
        <f>EDATE('はじめに'!$C$5,H83)</f>
        <v/>
      </c>
      <c r="J83" s="32" t="inlineStr">
        <is>
          <t>推奨</t>
        </is>
      </c>
      <c r="K83" s="32" t="inlineStr">
        <is>
          <t>2人</t>
        </is>
      </c>
      <c r="L83" s="35" t="inlineStr">
        <is>
          <t>-</t>
        </is>
      </c>
      <c r="M83" s="32" t="inlineStr"/>
      <c r="N83" s="37" t="inlineStr">
        <is>
          <t>未着手</t>
        </is>
      </c>
      <c r="O83" s="27" t="inlineStr"/>
    </row>
    <row r="84" ht="62" customHeight="1">
      <c r="A84" s="38" t="inlineStr">
        <is>
          <t>P7-10</t>
        </is>
      </c>
      <c r="B84" s="38" t="inlineStr">
        <is>
          <t>P7</t>
        </is>
      </c>
      <c r="C84" s="21" t="inlineStr">
        <is>
          <t>妊活</t>
        </is>
      </c>
      <c r="D84" s="39" t="inlineStr">
        <is>
          <t>不妊治療の保険適用の範囲を把握する</t>
        </is>
      </c>
      <c r="E84" s="23" t="inlineStr">
        <is>
          <t>どこまで保険が効くか</t>
        </is>
      </c>
      <c r="F84" s="23" t="inlineStr">
        <is>
          <t>タイミング法・人工授精・体外受精・顕微授精は保険適用（2022年4月〜）</t>
        </is>
      </c>
      <c r="G84" s="23" t="inlineStr">
        <is>
          <t>**女性が43歳未満で治療開始が条件。体外受精は40歳未満で子1人につき6回、40〜43歳未満で3回まで**。年齢が要件なので逆算が必要</t>
        </is>
      </c>
      <c r="H84" s="38" t="n">
        <v>20</v>
      </c>
      <c r="I84" s="40">
        <f>EDATE('はじめに'!$C$5,H84)</f>
        <v/>
      </c>
      <c r="J84" s="38" t="inlineStr">
        <is>
          <t>推奨</t>
        </is>
      </c>
      <c r="K84" s="38" t="inlineStr">
        <is>
          <t>2人</t>
        </is>
      </c>
      <c r="L84" s="23" t="inlineStr">
        <is>
          <t>-</t>
        </is>
      </c>
      <c r="M84" s="38" t="inlineStr">
        <is>
          <t>P7-01</t>
        </is>
      </c>
      <c r="N84" s="37" t="inlineStr">
        <is>
          <t>未着手</t>
        </is>
      </c>
      <c r="O84" s="27" t="inlineStr"/>
    </row>
    <row r="85" ht="62" customHeight="1">
      <c r="A85" s="32" t="inlineStr">
        <is>
          <t>P7-11</t>
        </is>
      </c>
      <c r="B85" s="32" t="inlineStr">
        <is>
          <t>P7</t>
        </is>
      </c>
      <c r="C85" s="33" t="inlineStr">
        <is>
          <t>妊活</t>
        </is>
      </c>
      <c r="D85" s="34" t="inlineStr">
        <is>
          <t>民間医療保険に加入する（妊娠前に）</t>
        </is>
      </c>
      <c r="E85" s="35" t="inlineStr">
        <is>
          <t>帝王切開・切迫早産に備えるか</t>
        </is>
      </c>
      <c r="F85" s="35" t="inlineStr"/>
      <c r="G85" s="35" t="inlineStr">
        <is>
          <t>**妊娠が判明すると子宮関連が不担保になるのが一般的**。入るならここが最後のタイミング</t>
        </is>
      </c>
      <c r="H85" s="32" t="n">
        <v>20</v>
      </c>
      <c r="I85" s="36">
        <f>EDATE('はじめに'!$C$5,H85)</f>
        <v/>
      </c>
      <c r="J85" s="32" t="inlineStr">
        <is>
          <t>推奨</t>
        </is>
      </c>
      <c r="K85" s="32" t="inlineStr">
        <is>
          <t>妊娠する側</t>
        </is>
      </c>
      <c r="L85" s="35" t="inlineStr">
        <is>
          <t>-</t>
        </is>
      </c>
      <c r="M85" s="32" t="inlineStr">
        <is>
          <t>P2-06</t>
        </is>
      </c>
      <c r="N85" s="37" t="inlineStr">
        <is>
          <t>未着手</t>
        </is>
      </c>
      <c r="O85" s="27" t="inlineStr"/>
    </row>
    <row r="86" ht="62" customHeight="1">
      <c r="A86" s="38" t="inlineStr">
        <is>
          <t>P7-12</t>
        </is>
      </c>
      <c r="B86" s="38" t="inlineStr">
        <is>
          <t>P7</t>
        </is>
      </c>
      <c r="C86" s="21" t="inlineStr">
        <is>
          <t>妊活</t>
        </is>
      </c>
      <c r="D86" s="39" t="inlineStr">
        <is>
          <t>勤務先の産休・育休・時短制度を2人とも確認する</t>
        </is>
      </c>
      <c r="E86" s="23" t="inlineStr">
        <is>
          <t>父側の制度も確認したか</t>
        </is>
      </c>
      <c r="F86" s="23" t="inlineStr">
        <is>
          <t>産後パパ育休／育休の分割取得／独自の上乗せ手当／時短の期間</t>
        </is>
      </c>
      <c r="G86" s="23" t="inlineStr">
        <is>
          <t>**父側の会社の制度確認が抜けやすい**</t>
        </is>
      </c>
      <c r="H86" s="38" t="n">
        <v>21</v>
      </c>
      <c r="I86" s="40">
        <f>EDATE('はじめに'!$C$5,H86)</f>
        <v/>
      </c>
      <c r="J86" s="38" t="inlineStr">
        <is>
          <t>推奨</t>
        </is>
      </c>
      <c r="K86" s="38" t="inlineStr">
        <is>
          <t>2人</t>
        </is>
      </c>
      <c r="L86" s="23" t="inlineStr">
        <is>
          <t>-</t>
        </is>
      </c>
      <c r="M86" s="38" t="inlineStr"/>
      <c r="N86" s="37" t="inlineStr">
        <is>
          <t>未着手</t>
        </is>
      </c>
      <c r="O86" s="27" t="inlineStr"/>
    </row>
    <row r="87" ht="62" customHeight="1">
      <c r="A87" s="32" t="inlineStr">
        <is>
          <t>P7-13</t>
        </is>
      </c>
      <c r="B87" s="32" t="inlineStr">
        <is>
          <t>P7</t>
        </is>
      </c>
      <c r="C87" s="33" t="inlineStr">
        <is>
          <t>妊活</t>
        </is>
      </c>
      <c r="D87" s="34" t="inlineStr">
        <is>
          <t>妊活の「期限」と次のステップへの移行条件を合意する</t>
        </is>
      </c>
      <c r="E87" s="35" t="inlineStr">
        <is>
          <t>何ヶ月で受診に切り替えるか</t>
        </is>
      </c>
      <c r="F87" s="35" t="inlineStr">
        <is>
          <t>6周期（35歳以上は3〜6ヶ月）で妊娠しなければ受診、が一般的な目安</t>
        </is>
      </c>
      <c r="G87" s="35" t="inlineStr">
        <is>
          <t>**先に決めておけば「そろそろ病院に行こう」が責める言葉にならない**</t>
        </is>
      </c>
      <c r="H87" s="32" t="n">
        <v>21</v>
      </c>
      <c r="I87" s="36">
        <f>EDATE('はじめに'!$C$5,H87)</f>
        <v/>
      </c>
      <c r="J87" s="32" t="inlineStr">
        <is>
          <t>推奨</t>
        </is>
      </c>
      <c r="K87" s="32" t="inlineStr">
        <is>
          <t>2人</t>
        </is>
      </c>
      <c r="L87" s="35" t="inlineStr">
        <is>
          <t>-</t>
        </is>
      </c>
      <c r="M87" s="32" t="inlineStr">
        <is>
          <t>P7-01</t>
        </is>
      </c>
      <c r="N87" s="37" t="inlineStr">
        <is>
          <t>未着手</t>
        </is>
      </c>
      <c r="O87" s="27" t="inlineStr"/>
    </row>
    <row r="88" ht="62" customHeight="1">
      <c r="A88" s="38" t="inlineStr">
        <is>
          <t>P8-01</t>
        </is>
      </c>
      <c r="B88" s="38" t="inlineStr">
        <is>
          <t>P8</t>
        </is>
      </c>
      <c r="C88" s="21" t="inlineStr">
        <is>
          <t>妊活</t>
        </is>
      </c>
      <c r="D88" s="39" t="inlineStr">
        <is>
          <t>タイミング法（自己流）</t>
        </is>
      </c>
      <c r="E88" s="23" t="inlineStr"/>
      <c r="F88" s="23" t="inlineStr"/>
      <c r="G88" s="23" t="inlineStr">
        <is>
          <t>排卵日の2日前〜当日が確率のピーク</t>
        </is>
      </c>
      <c r="H88" s="38" t="n">
        <v>22</v>
      </c>
      <c r="I88" s="40">
        <f>EDATE('はじめに'!$C$5,H88)</f>
        <v/>
      </c>
      <c r="J88" s="38" t="inlineStr">
        <is>
          <t>任意</t>
        </is>
      </c>
      <c r="K88" s="38" t="inlineStr">
        <is>
          <t>2人</t>
        </is>
      </c>
      <c r="L88" s="23" t="inlineStr">
        <is>
          <t>-</t>
        </is>
      </c>
      <c r="M88" s="38" t="inlineStr">
        <is>
          <t>P7-08</t>
        </is>
      </c>
      <c r="N88" s="37" t="inlineStr">
        <is>
          <t>未着手</t>
        </is>
      </c>
      <c r="O88" s="27" t="inlineStr"/>
    </row>
    <row r="89" ht="62" customHeight="1">
      <c r="A89" s="32" t="inlineStr">
        <is>
          <t>P8-02</t>
        </is>
      </c>
      <c r="B89" s="32" t="inlineStr">
        <is>
          <t>P8</t>
        </is>
      </c>
      <c r="C89" s="33" t="inlineStr">
        <is>
          <t>妊活</t>
        </is>
      </c>
      <c r="D89" s="34" t="inlineStr">
        <is>
          <t>移行条件に達したらクリニックを受診する</t>
        </is>
      </c>
      <c r="E89" s="35" t="inlineStr">
        <is>
          <t>どのクリニックを選ぶか</t>
        </is>
      </c>
      <c r="F89" s="35" t="inlineStr">
        <is>
          <t>一般婦人科／不妊治療専門クリニック／高度生殖医療（ART）まで対応する施設</t>
        </is>
      </c>
      <c r="G89" s="35" t="inlineStr">
        <is>
          <t>判断軸：**通院頻度に耐えられる立地**（生理周期に合わせて平日朝の通院が頻発する）／土日・夜間の対応／体外受精まで自院で完結するか／実績の開示／説明の丁寧さ</t>
        </is>
      </c>
      <c r="H89" s="32" t="n">
        <v>24</v>
      </c>
      <c r="I89" s="36">
        <f>EDATE('はじめに'!$C$5,H89)</f>
        <v/>
      </c>
      <c r="J89" s="32" t="inlineStr">
        <is>
          <t>推奨</t>
        </is>
      </c>
      <c r="K89" s="32" t="inlineStr">
        <is>
          <t>2人</t>
        </is>
      </c>
      <c r="L89" s="35" t="inlineStr">
        <is>
          <t>-</t>
        </is>
      </c>
      <c r="M89" s="32" t="inlineStr">
        <is>
          <t>P7-13</t>
        </is>
      </c>
      <c r="N89" s="37" t="inlineStr">
        <is>
          <t>未着手</t>
        </is>
      </c>
      <c r="O89" s="27" t="inlineStr"/>
    </row>
    <row r="90" ht="62" customHeight="1">
      <c r="A90" s="38" t="inlineStr">
        <is>
          <t>P8-03</t>
        </is>
      </c>
      <c r="B90" s="38" t="inlineStr">
        <is>
          <t>P8</t>
        </is>
      </c>
      <c r="C90" s="21" t="inlineStr">
        <is>
          <t>妊活</t>
        </is>
      </c>
      <c r="D90" s="39" t="inlineStr">
        <is>
          <t>各種検査（子宮卵管造影・ホルモン・AMH）</t>
        </is>
      </c>
      <c r="E90" s="23" t="inlineStr"/>
      <c r="F90" s="23" t="inlineStr"/>
      <c r="G90" s="23" t="inlineStr">
        <is>
          <t>**卵管造影は検査後3〜6ヶ月が妊娠しやすいとされる**</t>
        </is>
      </c>
      <c r="H90" s="38" t="n">
        <v>24</v>
      </c>
      <c r="I90" s="40">
        <f>EDATE('はじめに'!$C$5,H90)</f>
        <v/>
      </c>
      <c r="J90" s="38" t="inlineStr">
        <is>
          <t>推奨</t>
        </is>
      </c>
      <c r="K90" s="38" t="inlineStr">
        <is>
          <t>妊娠する側</t>
        </is>
      </c>
      <c r="L90" s="23" t="inlineStr">
        <is>
          <t>1〜3万円</t>
        </is>
      </c>
      <c r="M90" s="38" t="inlineStr">
        <is>
          <t>P8-02</t>
        </is>
      </c>
      <c r="N90" s="37" t="inlineStr">
        <is>
          <t>未着手</t>
        </is>
      </c>
      <c r="O90" s="27" t="inlineStr"/>
    </row>
    <row r="91" ht="62" customHeight="1">
      <c r="A91" s="32" t="inlineStr">
        <is>
          <t>P8-04</t>
        </is>
      </c>
      <c r="B91" s="32" t="inlineStr">
        <is>
          <t>P8</t>
        </is>
      </c>
      <c r="C91" s="33" t="inlineStr">
        <is>
          <t>妊活</t>
        </is>
      </c>
      <c r="D91" s="34" t="inlineStr">
        <is>
          <t>人工授精（AIH）へ進む</t>
        </is>
      </c>
      <c r="E91" s="35" t="inlineStr">
        <is>
          <t>何回やって次に進むか</t>
        </is>
      </c>
      <c r="F91" s="35" t="inlineStr"/>
      <c r="G91" s="35" t="inlineStr">
        <is>
          <t>**5〜6回で妊娠しなければ体外受精への移行が一般的**。1回1〜3万円（保険適用）</t>
        </is>
      </c>
      <c r="H91" s="32" t="n">
        <v>25</v>
      </c>
      <c r="I91" s="36">
        <f>EDATE('はじめに'!$C$5,H91)</f>
        <v/>
      </c>
      <c r="J91" s="32" t="inlineStr">
        <is>
          <t>任意</t>
        </is>
      </c>
      <c r="K91" s="32" t="inlineStr">
        <is>
          <t>2人</t>
        </is>
      </c>
      <c r="L91" s="35" t="inlineStr">
        <is>
          <t>1〜3万円/回</t>
        </is>
      </c>
      <c r="M91" s="32" t="inlineStr">
        <is>
          <t>P8-03</t>
        </is>
      </c>
      <c r="N91" s="37" t="inlineStr">
        <is>
          <t>未着手</t>
        </is>
      </c>
      <c r="O91" s="27" t="inlineStr"/>
    </row>
    <row r="92" ht="62" customHeight="1">
      <c r="A92" s="38" t="inlineStr">
        <is>
          <t>P8-05</t>
        </is>
      </c>
      <c r="B92" s="38" t="inlineStr">
        <is>
          <t>P8</t>
        </is>
      </c>
      <c r="C92" s="21" t="inlineStr">
        <is>
          <t>妊活</t>
        </is>
      </c>
      <c r="D92" s="39" t="inlineStr">
        <is>
          <t>体外受精（IVF）・顕微授精（ICSI）への移行を判断する</t>
        </is>
      </c>
      <c r="E92" s="23" t="inlineStr">
        <is>
          <t>いつ移行するか、何回やるか、先進医療を使うか</t>
        </is>
      </c>
      <c r="F92" s="23" t="inlineStr">
        <is>
          <t>保険診療／自費＋先進医療（タイムラプス、PGT-A等）</t>
        </is>
      </c>
      <c r="G92" s="23" t="inlineStr">
        <is>
          <t>**保険適用で1回あたり自己負担15〜30万円。年齢による回数上限がある**。民間保険の先進医療特約が使える場合あり</t>
        </is>
      </c>
      <c r="H92" s="38" t="n">
        <v>26</v>
      </c>
      <c r="I92" s="40">
        <f>EDATE('はじめに'!$C$5,H92)</f>
        <v/>
      </c>
      <c r="J92" s="38" t="inlineStr">
        <is>
          <t>任意</t>
        </is>
      </c>
      <c r="K92" s="38" t="inlineStr">
        <is>
          <t>2人</t>
        </is>
      </c>
      <c r="L92" s="23" t="inlineStr">
        <is>
          <t>15〜30万円/回</t>
        </is>
      </c>
      <c r="M92" s="38" t="inlineStr">
        <is>
          <t>P8-04</t>
        </is>
      </c>
      <c r="N92" s="37" t="inlineStr">
        <is>
          <t>未着手</t>
        </is>
      </c>
      <c r="O92" s="27" t="inlineStr"/>
    </row>
    <row r="93" ht="62" customHeight="1">
      <c r="A93" s="32" t="inlineStr">
        <is>
          <t>P8-06</t>
        </is>
      </c>
      <c r="B93" s="32" t="inlineStr">
        <is>
          <t>P8</t>
        </is>
      </c>
      <c r="C93" s="33" t="inlineStr">
        <is>
          <t>妊活</t>
        </is>
      </c>
      <c r="D93" s="34" t="inlineStr">
        <is>
          <t>治療費の上限と「やめどき」を数字で合意する</t>
        </is>
      </c>
      <c r="E93" s="35" t="inlineStr">
        <is>
          <t>いくらまで／いつまで／何回まで</t>
        </is>
      </c>
      <c r="F93" s="35" t="inlineStr">
        <is>
          <t>金額で区切る／回数で区切る／年齢で区切る／期限を決めず都度相談</t>
        </is>
      </c>
      <c r="G93" s="35" t="inlineStr">
        <is>
          <t>**妊活期で最も関係が壊れやすい論点**。感情が高ぶっている最中に決めると片方が納得しない。冷静なうちに数字で決めて書き残す</t>
        </is>
      </c>
      <c r="H93" s="32" t="n">
        <v>25</v>
      </c>
      <c r="I93" s="36">
        <f>EDATE('はじめに'!$C$5,H93)</f>
        <v/>
      </c>
      <c r="J93" s="32" t="inlineStr">
        <is>
          <t>推奨</t>
        </is>
      </c>
      <c r="K93" s="32" t="inlineStr">
        <is>
          <t>2人</t>
        </is>
      </c>
      <c r="L93" s="35" t="inlineStr">
        <is>
          <t>-</t>
        </is>
      </c>
      <c r="M93" s="32" t="inlineStr">
        <is>
          <t>P8-02</t>
        </is>
      </c>
      <c r="N93" s="37" t="inlineStr">
        <is>
          <t>未着手</t>
        </is>
      </c>
      <c r="O93" s="27" t="inlineStr"/>
    </row>
    <row r="94" ht="62" customHeight="1">
      <c r="A94" s="38" t="inlineStr">
        <is>
          <t>P8-07</t>
        </is>
      </c>
      <c r="B94" s="38" t="inlineStr">
        <is>
          <t>P8</t>
        </is>
      </c>
      <c r="C94" s="21" t="inlineStr">
        <is>
          <t>妊活</t>
        </is>
      </c>
      <c r="D94" s="39" t="inlineStr">
        <is>
          <t>通院負担と仕事調整の分担を決める</t>
        </is>
      </c>
      <c r="E94" s="23" t="inlineStr">
        <is>
          <t>誰がどれだけ休むか</t>
        </is>
      </c>
      <c r="F94" s="23" t="inlineStr">
        <is>
          <t>有給／時間休／フレックス／在宅／不妊治療休暇（ある会社）</t>
        </is>
      </c>
      <c r="G94" s="23" t="inlineStr">
        <is>
          <t>**通院は圧倒的に女性側に偏る**。男性側も採精や説明で通う日を必ず作り、負担の非対称を可視化する</t>
        </is>
      </c>
      <c r="H94" s="38" t="n">
        <v>25</v>
      </c>
      <c r="I94" s="40">
        <f>EDATE('はじめに'!$C$5,H94)</f>
        <v/>
      </c>
      <c r="J94" s="38" t="inlineStr">
        <is>
          <t>推奨</t>
        </is>
      </c>
      <c r="K94" s="38" t="inlineStr">
        <is>
          <t>2人</t>
        </is>
      </c>
      <c r="L94" s="23" t="inlineStr">
        <is>
          <t>-</t>
        </is>
      </c>
      <c r="M94" s="38" t="inlineStr">
        <is>
          <t>P8-02</t>
        </is>
      </c>
      <c r="N94" s="37" t="inlineStr">
        <is>
          <t>未着手</t>
        </is>
      </c>
      <c r="O94" s="27" t="inlineStr"/>
    </row>
    <row r="95" ht="62" customHeight="1">
      <c r="A95" s="32" t="inlineStr">
        <is>
          <t>P8-08</t>
        </is>
      </c>
      <c r="B95" s="32" t="inlineStr">
        <is>
          <t>P8</t>
        </is>
      </c>
      <c r="C95" s="33" t="inlineStr">
        <is>
          <t>妊活</t>
        </is>
      </c>
      <c r="D95" s="34" t="inlineStr">
        <is>
          <t>メンタルの守り方をルール化する</t>
        </is>
      </c>
      <c r="E95" s="35" t="inlineStr">
        <is>
          <t>周囲の妊娠報告・親からのプレッシャーにどう対応するか</t>
        </is>
      </c>
      <c r="F95" s="35" t="inlineStr">
        <is>
          <t>SNSを見る頻度を減らす／親には「聞かないでほしい」と2人の言葉で伝える／カウンセリング（不妊専門相談センター＝各都道府県に設置）</t>
        </is>
      </c>
      <c r="G95" s="35" t="inlineStr">
        <is>
          <t>**親への説明は各自が自分の実親に対して行う**。相手にやらせない</t>
        </is>
      </c>
      <c r="H95" s="32" t="n">
        <v>25</v>
      </c>
      <c r="I95" s="36">
        <f>EDATE('はじめに'!$C$5,H95)</f>
        <v/>
      </c>
      <c r="J95" s="32" t="inlineStr">
        <is>
          <t>推奨</t>
        </is>
      </c>
      <c r="K95" s="32" t="inlineStr">
        <is>
          <t>2人</t>
        </is>
      </c>
      <c r="L95" s="35" t="inlineStr">
        <is>
          <t>-</t>
        </is>
      </c>
      <c r="M95" s="32" t="inlineStr"/>
      <c r="N95" s="37" t="inlineStr">
        <is>
          <t>未着手</t>
        </is>
      </c>
      <c r="O95" s="27" t="inlineStr"/>
    </row>
    <row r="96" ht="62" customHeight="1">
      <c r="A96" s="38" t="inlineStr">
        <is>
          <t>P8-09</t>
        </is>
      </c>
      <c r="B96" s="38" t="inlineStr">
        <is>
          <t>P8</t>
        </is>
      </c>
      <c r="C96" s="21" t="inlineStr">
        <is>
          <t>妊活</t>
        </is>
      </c>
      <c r="D96" s="39" t="inlineStr">
        <is>
          <t>妊娠判明（検査薬陽性）</t>
        </is>
      </c>
      <c r="E96" s="23" t="inlineStr"/>
      <c r="F96" s="23" t="inlineStr"/>
      <c r="G96" s="23" t="inlineStr">
        <is>
          <t>生理予定日1週間後に検査。P9へ</t>
        </is>
      </c>
      <c r="H96" s="38" t="n">
        <v>27</v>
      </c>
      <c r="I96" s="40">
        <f>EDATE('はじめに'!$C$5,H96)</f>
        <v/>
      </c>
      <c r="J96" s="38" t="inlineStr">
        <is>
          <t>推奨</t>
        </is>
      </c>
      <c r="K96" s="38" t="inlineStr">
        <is>
          <t>妊娠する側</t>
        </is>
      </c>
      <c r="L96" s="23" t="inlineStr">
        <is>
          <t>-</t>
        </is>
      </c>
      <c r="M96" s="38" t="inlineStr"/>
      <c r="N96" s="37" t="inlineStr">
        <is>
          <t>未着手</t>
        </is>
      </c>
      <c r="O96" s="27" t="inlineStr"/>
    </row>
    <row r="97" ht="62" customHeight="1">
      <c r="A97" s="32" t="inlineStr">
        <is>
          <t>P9-01</t>
        </is>
      </c>
      <c r="B97" s="32" t="inlineStr">
        <is>
          <t>P9</t>
        </is>
      </c>
      <c r="C97" s="33" t="inlineStr">
        <is>
          <t>妊娠</t>
        </is>
      </c>
      <c r="D97" s="34" t="inlineStr">
        <is>
          <t>産婦人科の初診・胎嚢確認・心拍確認</t>
        </is>
      </c>
      <c r="E97" s="35" t="inlineStr"/>
      <c r="F97" s="35" t="inlineStr"/>
      <c r="G97" s="35" t="inlineStr">
        <is>
          <t>6〜8週で心拍確認、出産予定日が確定</t>
        </is>
      </c>
      <c r="H97" s="32" t="n">
        <v>28</v>
      </c>
      <c r="I97" s="36">
        <f>EDATE('はじめに'!$C$5,H97)</f>
        <v/>
      </c>
      <c r="J97" s="32" t="inlineStr">
        <is>
          <t>推奨</t>
        </is>
      </c>
      <c r="K97" s="32" t="inlineStr">
        <is>
          <t>妊娠する側</t>
        </is>
      </c>
      <c r="L97" s="35" t="inlineStr">
        <is>
          <t>1〜2万円</t>
        </is>
      </c>
      <c r="M97" s="32" t="inlineStr">
        <is>
          <t>P8-09</t>
        </is>
      </c>
      <c r="N97" s="37" t="inlineStr">
        <is>
          <t>未着手</t>
        </is>
      </c>
      <c r="O97" s="27" t="inlineStr"/>
    </row>
    <row r="98" ht="62" customHeight="1">
      <c r="A98" s="38" t="inlineStr">
        <is>
          <t>P9-02</t>
        </is>
      </c>
      <c r="B98" s="38" t="inlineStr">
        <is>
          <t>P9</t>
        </is>
      </c>
      <c r="C98" s="21" t="inlineStr">
        <is>
          <t>手続き</t>
        </is>
      </c>
      <c r="D98" s="39" t="inlineStr">
        <is>
          <t>妊娠届の提出と母子健康手帳・受診票の交付</t>
        </is>
      </c>
      <c r="E98" s="23" t="inlineStr"/>
      <c r="F98" s="23" t="inlineStr">
        <is>
          <t>保健センター／市役所</t>
        </is>
      </c>
      <c r="G98" s="23" t="inlineStr">
        <is>
          <t>**受診票14回分＝10万円前後の補助**。心拍確認後すみやかに</t>
        </is>
      </c>
      <c r="H98" s="38" t="n">
        <v>28</v>
      </c>
      <c r="I98" s="40">
        <f>EDATE('はじめに'!$C$5,H98)</f>
        <v/>
      </c>
      <c r="J98" s="38" t="inlineStr">
        <is>
          <t>法定</t>
        </is>
      </c>
      <c r="K98" s="38" t="inlineStr">
        <is>
          <t>どちらか</t>
        </is>
      </c>
      <c r="L98" s="23" t="inlineStr">
        <is>
          <t>-</t>
        </is>
      </c>
      <c r="M98" s="38" t="inlineStr">
        <is>
          <t>P9-01</t>
        </is>
      </c>
      <c r="N98" s="37" t="inlineStr">
        <is>
          <t>未着手</t>
        </is>
      </c>
      <c r="O98" s="27" t="inlineStr"/>
    </row>
    <row r="99" ht="62" customHeight="1">
      <c r="A99" s="32" t="inlineStr">
        <is>
          <t>P9-03</t>
        </is>
      </c>
      <c r="B99" s="32" t="inlineStr">
        <is>
          <t>P9</t>
        </is>
      </c>
      <c r="C99" s="33" t="inlineStr">
        <is>
          <t>お金</t>
        </is>
      </c>
      <c r="D99" s="34" t="inlineStr">
        <is>
          <t>妊婦のための支援給付（第1回5万円）の申請</t>
        </is>
      </c>
      <c r="E99" s="35" t="inlineStr"/>
      <c r="F99" s="35" t="inlineStr"/>
      <c r="G99" s="35" t="inlineStr">
        <is>
          <t>面談が要件。自治体独自の支援（タクシー券・家事支援）も同時に確認</t>
        </is>
      </c>
      <c r="H99" s="32" t="n">
        <v>28</v>
      </c>
      <c r="I99" s="36">
        <f>EDATE('はじめに'!$C$5,H99)</f>
        <v/>
      </c>
      <c r="J99" s="32" t="inlineStr">
        <is>
          <t>推奨</t>
        </is>
      </c>
      <c r="K99" s="32" t="inlineStr">
        <is>
          <t>どちらか</t>
        </is>
      </c>
      <c r="L99" s="35" t="inlineStr">
        <is>
          <t>+5万円</t>
        </is>
      </c>
      <c r="M99" s="32" t="inlineStr">
        <is>
          <t>P9-02</t>
        </is>
      </c>
      <c r="N99" s="37" t="inlineStr">
        <is>
          <t>未着手</t>
        </is>
      </c>
      <c r="O99" s="27" t="inlineStr"/>
    </row>
    <row r="100" ht="62" customHeight="1">
      <c r="A100" s="38" t="inlineStr">
        <is>
          <t>P9-04</t>
        </is>
      </c>
      <c r="B100" s="38" t="inlineStr">
        <is>
          <t>P9</t>
        </is>
      </c>
      <c r="C100" s="21" t="inlineStr">
        <is>
          <t>妊娠</t>
        </is>
      </c>
      <c r="D100" s="39" t="inlineStr">
        <is>
          <t>産院を選ぶ</t>
        </is>
      </c>
      <c r="E100" s="23" t="inlineStr">
        <is>
          <t>どこで産むか</t>
        </is>
      </c>
      <c r="F100" s="23" t="inlineStr">
        <is>
          <t>①総合病院・大学病院（NICU併設、ハイリスク対応） ②個人クリニック（食事・設備が快適） ③助産院（自然分娩のみ） ④無痛分娩対応院</t>
        </is>
      </c>
      <c r="G100" s="23" t="inlineStr">
        <is>
          <t>判断軸：**NICUの有無**（何かあったときの搬送を避けられる）／無痛分娩の24時間対応か計画分娩か／立会いと面会のルール／総額費用／自宅からの距離と深夜の交通手段／里帰りするか</t>
        </is>
      </c>
      <c r="H100" s="38" t="n">
        <v>28</v>
      </c>
      <c r="I100" s="40">
        <f>EDATE('はじめに'!$C$5,H100)</f>
        <v/>
      </c>
      <c r="J100" s="38" t="inlineStr">
        <is>
          <t>推奨</t>
        </is>
      </c>
      <c r="K100" s="38" t="inlineStr">
        <is>
          <t>2人</t>
        </is>
      </c>
      <c r="L100" s="23" t="inlineStr">
        <is>
          <t>-</t>
        </is>
      </c>
      <c r="M100" s="38" t="inlineStr">
        <is>
          <t>P9-01</t>
        </is>
      </c>
      <c r="N100" s="37" t="inlineStr">
        <is>
          <t>未着手</t>
        </is>
      </c>
      <c r="O100" s="27" t="inlineStr"/>
    </row>
    <row r="101" ht="62" customHeight="1">
      <c r="A101" s="32" t="inlineStr">
        <is>
          <t>P9-05</t>
        </is>
      </c>
      <c r="B101" s="32" t="inlineStr">
        <is>
          <t>P9</t>
        </is>
      </c>
      <c r="C101" s="33" t="inlineStr">
        <is>
          <t>妊娠</t>
        </is>
      </c>
      <c r="D101" s="34" t="inlineStr">
        <is>
          <t>分娩予約を取る</t>
        </is>
      </c>
      <c r="E101" s="35" t="inlineStr"/>
      <c r="F101" s="35" t="inlineStr"/>
      <c r="G101" s="35" t="inlineStr">
        <is>
          <t>**人気院は心拍確認直後に埋まる。8〜12週が期限の院が多い**</t>
        </is>
      </c>
      <c r="H101" s="32" t="n">
        <v>29</v>
      </c>
      <c r="I101" s="36">
        <f>EDATE('はじめに'!$C$5,H101)</f>
        <v/>
      </c>
      <c r="J101" s="32" t="inlineStr">
        <is>
          <t>推奨</t>
        </is>
      </c>
      <c r="K101" s="32" t="inlineStr">
        <is>
          <t>妊娠する側</t>
        </is>
      </c>
      <c r="L101" s="35" t="inlineStr">
        <is>
          <t>予約金3〜10万円</t>
        </is>
      </c>
      <c r="M101" s="32" t="inlineStr">
        <is>
          <t>P9-04</t>
        </is>
      </c>
      <c r="N101" s="37" t="inlineStr">
        <is>
          <t>未着手</t>
        </is>
      </c>
      <c r="O101" s="27" t="inlineStr"/>
    </row>
    <row r="102" ht="62" customHeight="1">
      <c r="A102" s="38" t="inlineStr">
        <is>
          <t>P9-06</t>
        </is>
      </c>
      <c r="B102" s="38" t="inlineStr">
        <is>
          <t>P9</t>
        </is>
      </c>
      <c r="C102" s="21" t="inlineStr">
        <is>
          <t>妊娠</t>
        </is>
      </c>
      <c r="D102" s="39" t="inlineStr">
        <is>
          <t>無痛分娩にするか決める</t>
        </is>
      </c>
      <c r="E102" s="23" t="inlineStr">
        <is>
          <t>追加費用と対応体制</t>
        </is>
      </c>
      <c r="F102" s="23" t="inlineStr">
        <is>
          <t>自然分娩／和痛・無痛（計画分娩）／24時間対応の無痛</t>
        </is>
      </c>
      <c r="G102" s="23" t="inlineStr">
        <is>
          <t>追加10〜20万円。**24時間対応できる施設は限られる**</t>
        </is>
      </c>
      <c r="H102" s="38" t="n">
        <v>29</v>
      </c>
      <c r="I102" s="40">
        <f>EDATE('はじめに'!$C$5,H102)</f>
        <v/>
      </c>
      <c r="J102" s="38" t="inlineStr">
        <is>
          <t>任意</t>
        </is>
      </c>
      <c r="K102" s="38" t="inlineStr">
        <is>
          <t>2人</t>
        </is>
      </c>
      <c r="L102" s="23" t="inlineStr">
        <is>
          <t>10〜20万円</t>
        </is>
      </c>
      <c r="M102" s="38" t="inlineStr">
        <is>
          <t>P9-04</t>
        </is>
      </c>
      <c r="N102" s="37" t="inlineStr">
        <is>
          <t>未着手</t>
        </is>
      </c>
      <c r="O102" s="27" t="inlineStr"/>
    </row>
    <row r="103" ht="62" customHeight="1">
      <c r="A103" s="32" t="inlineStr">
        <is>
          <t>P9-07</t>
        </is>
      </c>
      <c r="B103" s="32" t="inlineStr">
        <is>
          <t>P9</t>
        </is>
      </c>
      <c r="C103" s="33" t="inlineStr">
        <is>
          <t>妊娠</t>
        </is>
      </c>
      <c r="D103" s="34" t="inlineStr">
        <is>
          <t>出生前検査を受けるかどうかを決める</t>
        </is>
      </c>
      <c r="E103" s="35" t="inlineStr">
        <is>
          <t>受けるか／受けるなら何を／陽性だったらどうするか</t>
        </is>
      </c>
      <c r="F103" s="35" t="inlineStr">
        <is>
          <t>NIPT（10週〜、認証施設、15〜20万円）／コンバインド検査（11〜13週）／クアトロテスト（15〜18週）／絨毛検査（11〜14週、確定）／羊水検査（15〜16週〜、確定）</t>
        </is>
      </c>
      <c r="G103" s="35" t="inlineStr">
        <is>
          <t>**結果が出てからでは話し合う時間がない。「陽性ならどうするか」を先に合意してから受ける**。ここは夫婦で最も価値観が割れる論点</t>
        </is>
      </c>
      <c r="H103" s="32" t="n">
        <v>29</v>
      </c>
      <c r="I103" s="36">
        <f>EDATE('はじめに'!$C$5,H103)</f>
        <v/>
      </c>
      <c r="J103" s="32" t="inlineStr">
        <is>
          <t>任意</t>
        </is>
      </c>
      <c r="K103" s="32" t="inlineStr">
        <is>
          <t>2人</t>
        </is>
      </c>
      <c r="L103" s="35" t="inlineStr">
        <is>
          <t>0〜20万円</t>
        </is>
      </c>
      <c r="M103" s="32" t="inlineStr">
        <is>
          <t>P9-01</t>
        </is>
      </c>
      <c r="N103" s="37" t="inlineStr">
        <is>
          <t>未着手</t>
        </is>
      </c>
      <c r="O103" s="27" t="inlineStr"/>
    </row>
    <row r="104" ht="62" customHeight="1">
      <c r="A104" s="38" t="inlineStr">
        <is>
          <t>P9-08</t>
        </is>
      </c>
      <c r="B104" s="38" t="inlineStr">
        <is>
          <t>P9</t>
        </is>
      </c>
      <c r="C104" s="21" t="inlineStr">
        <is>
          <t>仕事</t>
        </is>
      </c>
      <c r="D104" s="39" t="inlineStr">
        <is>
          <t>勤務先への報告とつわり期の勤務調整</t>
        </is>
      </c>
      <c r="E104" s="23" t="inlineStr">
        <is>
          <t>いつ誰に報告するか</t>
        </is>
      </c>
      <c r="F104" s="23" t="inlineStr">
        <is>
          <t>母性健康管理指導事項連絡カード（勤務軽減を会社に義務づけられる）</t>
        </is>
      </c>
      <c r="G104" s="23" t="inlineStr">
        <is>
          <t>つわりは安定期前に来る。体調次第で早めに直属上司へ</t>
        </is>
      </c>
      <c r="H104" s="38" t="n">
        <v>29</v>
      </c>
      <c r="I104" s="40">
        <f>EDATE('はじめに'!$C$5,H104)</f>
        <v/>
      </c>
      <c r="J104" s="38" t="inlineStr">
        <is>
          <t>推奨</t>
        </is>
      </c>
      <c r="K104" s="38" t="inlineStr">
        <is>
          <t>妊娠する側</t>
        </is>
      </c>
      <c r="L104" s="23" t="inlineStr">
        <is>
          <t>-</t>
        </is>
      </c>
      <c r="M104" s="38" t="inlineStr">
        <is>
          <t>P9-01</t>
        </is>
      </c>
      <c r="N104" s="37" t="inlineStr">
        <is>
          <t>未着手</t>
        </is>
      </c>
      <c r="O104" s="27" t="inlineStr"/>
    </row>
    <row r="105" ht="62" customHeight="1">
      <c r="A105" s="32" t="inlineStr">
        <is>
          <t>P9-09</t>
        </is>
      </c>
      <c r="B105" s="32" t="inlineStr">
        <is>
          <t>P9</t>
        </is>
      </c>
      <c r="C105" s="33" t="inlineStr">
        <is>
          <t>関係</t>
        </is>
      </c>
      <c r="D105" s="34" t="inlineStr">
        <is>
          <t>つわり期の家事を全面的に引き取る体制を作る</t>
        </is>
      </c>
      <c r="E105" s="35" t="inlineStr">
        <is>
          <t>何をどう肩代わりするか</t>
        </is>
      </c>
      <c r="F105" s="35" t="inlineStr">
        <is>
          <t>宅配（コープ／パルシステム／オイシックス）／ミールキット／家事代行（CaSy／ベアーズ／タスカジ）／時短家電</t>
        </is>
      </c>
      <c r="G105" s="35" t="inlineStr">
        <is>
          <t>**「手伝う」ではなく「引き取る」。ここでの対応が産後の信頼残高になる**</t>
        </is>
      </c>
      <c r="H105" s="32" t="n">
        <v>29</v>
      </c>
      <c r="I105" s="36">
        <f>EDATE('はじめに'!$C$5,H105)</f>
        <v/>
      </c>
      <c r="J105" s="32" t="inlineStr">
        <is>
          <t>推奨</t>
        </is>
      </c>
      <c r="K105" s="32" t="inlineStr">
        <is>
          <t>パートナー</t>
        </is>
      </c>
      <c r="L105" s="35" t="inlineStr">
        <is>
          <t>5,000〜3万円/月</t>
        </is>
      </c>
      <c r="M105" s="32" t="inlineStr">
        <is>
          <t>P9-08</t>
        </is>
      </c>
      <c r="N105" s="37" t="inlineStr">
        <is>
          <t>未着手</t>
        </is>
      </c>
      <c r="O105" s="27" t="inlineStr"/>
    </row>
    <row r="106" ht="62" customHeight="1">
      <c r="A106" s="38" t="inlineStr">
        <is>
          <t>P9-10</t>
        </is>
      </c>
      <c r="B106" s="38" t="inlineStr">
        <is>
          <t>P9</t>
        </is>
      </c>
      <c r="C106" s="21" t="inlineStr">
        <is>
          <t>住まい</t>
        </is>
      </c>
      <c r="D106" s="39" t="inlineStr">
        <is>
          <t>保活を見越して引っ越すかどうかを再判断する</t>
        </is>
      </c>
      <c r="E106" s="23" t="inlineStr">
        <is>
          <t>今の家・今の自治体で子育てできるか</t>
        </is>
      </c>
      <c r="F106" s="23" t="inlineStr">
        <is>
          <t>現状維持／同一自治体内で広い部屋へ／保育園に入りやすい自治体へ／実家の近くへ／購入</t>
        </is>
      </c>
      <c r="G106" s="23" t="inlineStr">
        <is>
          <t>**引っ越すなら妊娠中期（〜7ヶ月）まで。産後の引っ越しは現実的に不可能**。認可保育園の申込は住民票の自治体で行うため、転居は申込前に済ませる</t>
        </is>
      </c>
      <c r="H106" s="38" t="n">
        <v>30</v>
      </c>
      <c r="I106" s="40">
        <f>EDATE('はじめに'!$C$5,H106)</f>
        <v/>
      </c>
      <c r="J106" s="38" t="inlineStr">
        <is>
          <t>推奨</t>
        </is>
      </c>
      <c r="K106" s="38" t="inlineStr">
        <is>
          <t>2人</t>
        </is>
      </c>
      <c r="L106" s="23" t="inlineStr">
        <is>
          <t>30〜100万円</t>
        </is>
      </c>
      <c r="M106" s="38" t="inlineStr">
        <is>
          <t>P9-04</t>
        </is>
      </c>
      <c r="N106" s="37" t="inlineStr">
        <is>
          <t>未着手</t>
        </is>
      </c>
      <c r="O106" s="27" t="inlineStr"/>
    </row>
    <row r="107" ht="62" customHeight="1">
      <c r="A107" s="32" t="inlineStr">
        <is>
          <t>P9-11</t>
        </is>
      </c>
      <c r="B107" s="32" t="inlineStr">
        <is>
          <t>P9</t>
        </is>
      </c>
      <c r="C107" s="33" t="inlineStr">
        <is>
          <t>妊娠</t>
        </is>
      </c>
      <c r="D107" s="34" t="inlineStr">
        <is>
          <t>里帰り出産をするか決める</t>
        </is>
      </c>
      <c r="E107" s="35" t="inlineStr">
        <is>
          <t>里帰りするか、しないか</t>
        </is>
      </c>
      <c r="F107" s="35" t="inlineStr">
        <is>
          <t>里帰りする／実母に来てもらう／2人だけで乗り切る／産後ケア施設を使う</t>
        </is>
      </c>
      <c r="G107" s="35" t="inlineStr">
        <is>
          <t>**里帰りすると父の育児参加が1〜2ヶ月遅れ、その差が1年続くことがある**。里帰り先の分娩予約は20週頃までに必要な院が多い</t>
        </is>
      </c>
      <c r="H107" s="32" t="n">
        <v>30</v>
      </c>
      <c r="I107" s="36">
        <f>EDATE('はじめに'!$C$5,H107)</f>
        <v/>
      </c>
      <c r="J107" s="32" t="inlineStr">
        <is>
          <t>推奨</t>
        </is>
      </c>
      <c r="K107" s="32" t="inlineStr">
        <is>
          <t>2人</t>
        </is>
      </c>
      <c r="L107" s="35" t="inlineStr">
        <is>
          <t>-</t>
        </is>
      </c>
      <c r="M107" s="32" t="inlineStr">
        <is>
          <t>P9-05</t>
        </is>
      </c>
      <c r="N107" s="37" t="inlineStr">
        <is>
          <t>未着手</t>
        </is>
      </c>
      <c r="O107" s="27" t="inlineStr"/>
    </row>
    <row r="108" ht="62" customHeight="1">
      <c r="A108" s="38" t="inlineStr">
        <is>
          <t>P9-12</t>
        </is>
      </c>
      <c r="B108" s="38" t="inlineStr">
        <is>
          <t>P9</t>
        </is>
      </c>
      <c r="C108" s="21" t="inlineStr">
        <is>
          <t>妊娠</t>
        </is>
      </c>
      <c r="D108" s="39" t="inlineStr">
        <is>
          <t>両親学級・母親学級に参加する（父も沐浴実習に出る）</t>
        </is>
      </c>
      <c r="E108" s="23" t="inlineStr"/>
      <c r="F108" s="23" t="inlineStr">
        <is>
          <t>自治体（無料、土日枠は争奪戦）／産院</t>
        </is>
      </c>
      <c r="G108" s="23" t="inlineStr">
        <is>
          <t>**父が沐浴とおむつを実習で経験しているかどうかで産後が変わる**</t>
        </is>
      </c>
      <c r="H108" s="38" t="n">
        <v>32</v>
      </c>
      <c r="I108" s="40">
        <f>EDATE('はじめに'!$C$5,H108)</f>
        <v/>
      </c>
      <c r="J108" s="38" t="inlineStr">
        <is>
          <t>推奨</t>
        </is>
      </c>
      <c r="K108" s="38" t="inlineStr">
        <is>
          <t>2人</t>
        </is>
      </c>
      <c r="L108" s="23" t="inlineStr">
        <is>
          <t>-</t>
        </is>
      </c>
      <c r="M108" s="38" t="inlineStr">
        <is>
          <t>P9-02</t>
        </is>
      </c>
      <c r="N108" s="37" t="inlineStr">
        <is>
          <t>未着手</t>
        </is>
      </c>
      <c r="O108" s="27" t="inlineStr"/>
    </row>
    <row r="109" ht="62" customHeight="1">
      <c r="A109" s="32" t="inlineStr">
        <is>
          <t>P9-13</t>
        </is>
      </c>
      <c r="B109" s="32" t="inlineStr">
        <is>
          <t>P9</t>
        </is>
      </c>
      <c r="C109" s="33" t="inlineStr">
        <is>
          <t>妊娠</t>
        </is>
      </c>
      <c r="D109" s="34" t="inlineStr">
        <is>
          <t>妊婦健診の受診（〜23週は4週毎、24〜35週は2週毎）</t>
        </is>
      </c>
      <c r="E109" s="35" t="inlineStr"/>
      <c r="F109" s="35" t="inlineStr"/>
      <c r="G109" s="35" t="inlineStr">
        <is>
          <t>受診票を毎回持参</t>
        </is>
      </c>
      <c r="H109" s="32" t="n">
        <v>30</v>
      </c>
      <c r="I109" s="36">
        <f>EDATE('はじめに'!$C$5,H109)</f>
        <v/>
      </c>
      <c r="J109" s="32" t="inlineStr">
        <is>
          <t>推奨</t>
        </is>
      </c>
      <c r="K109" s="32" t="inlineStr">
        <is>
          <t>妊娠する側</t>
        </is>
      </c>
      <c r="L109" s="35" t="inlineStr">
        <is>
          <t>3〜7万円（自己負担）</t>
        </is>
      </c>
      <c r="M109" s="32" t="inlineStr">
        <is>
          <t>P9-02</t>
        </is>
      </c>
      <c r="N109" s="37" t="inlineStr">
        <is>
          <t>未着手</t>
        </is>
      </c>
      <c r="O109" s="27" t="inlineStr"/>
    </row>
    <row r="110" ht="62" customHeight="1">
      <c r="A110" s="38" t="inlineStr">
        <is>
          <t>P9-14</t>
        </is>
      </c>
      <c r="B110" s="38" t="inlineStr">
        <is>
          <t>P9</t>
        </is>
      </c>
      <c r="C110" s="21" t="inlineStr">
        <is>
          <t>妊娠</t>
        </is>
      </c>
      <c r="D110" s="39" t="inlineStr">
        <is>
          <t>妊娠糖尿病スクリーニング（24〜28週）</t>
        </is>
      </c>
      <c r="E110" s="23" t="inlineStr"/>
      <c r="F110" s="23" t="inlineStr"/>
      <c r="G110" s="23" t="inlineStr">
        <is>
          <t>陽性なら食事指導・血糖自己測定</t>
        </is>
      </c>
      <c r="H110" s="38" t="n">
        <v>32</v>
      </c>
      <c r="I110" s="40">
        <f>EDATE('はじめに'!$C$5,H110)</f>
        <v/>
      </c>
      <c r="J110" s="38" t="inlineStr">
        <is>
          <t>推奨</t>
        </is>
      </c>
      <c r="K110" s="38" t="inlineStr">
        <is>
          <t>妊娠する側</t>
        </is>
      </c>
      <c r="L110" s="23" t="inlineStr">
        <is>
          <t>-</t>
        </is>
      </c>
      <c r="M110" s="38" t="inlineStr">
        <is>
          <t>P9-13</t>
        </is>
      </c>
      <c r="N110" s="37" t="inlineStr">
        <is>
          <t>未着手</t>
        </is>
      </c>
      <c r="O110" s="27" t="inlineStr"/>
    </row>
    <row r="111" ht="62" customHeight="1">
      <c r="A111" s="32" t="inlineStr">
        <is>
          <t>P9-15</t>
        </is>
      </c>
      <c r="B111" s="32" t="inlineStr">
        <is>
          <t>P9</t>
        </is>
      </c>
      <c r="C111" s="33" t="inlineStr">
        <is>
          <t>保活</t>
        </is>
      </c>
      <c r="D111" s="34" t="inlineStr">
        <is>
          <t>保育園を見学する（3〜5園）</t>
        </is>
      </c>
      <c r="E111" s="35" t="inlineStr">
        <is>
          <t>どの園を第一希望にするか</t>
        </is>
      </c>
      <c r="F111" s="35" t="inlineStr">
        <is>
          <t>認可保育園／認定こども園／小規模保育（0〜2歳）／企業主導型／認可外・インターナショナル</t>
        </is>
      </c>
      <c r="G111" s="35" t="inlineStr">
        <is>
          <t>**産後は物理的に見学に行けない。妊娠中に行くのが正解**。0歳児枠の有無、定員、園庭、給食、延長保育、駐輪場、連絡アプリの有無を見る</t>
        </is>
      </c>
      <c r="H111" s="32" t="n">
        <v>32</v>
      </c>
      <c r="I111" s="36">
        <f>EDATE('はじめに'!$C$5,H111)</f>
        <v/>
      </c>
      <c r="J111" s="32" t="inlineStr">
        <is>
          <t>推奨</t>
        </is>
      </c>
      <c r="K111" s="32" t="inlineStr">
        <is>
          <t>2人</t>
        </is>
      </c>
      <c r="L111" s="35" t="inlineStr">
        <is>
          <t>-</t>
        </is>
      </c>
      <c r="M111" s="32" t="inlineStr">
        <is>
          <t>P9-10</t>
        </is>
      </c>
      <c r="N111" s="37" t="inlineStr">
        <is>
          <t>未着手</t>
        </is>
      </c>
      <c r="O111" s="27" t="inlineStr"/>
    </row>
    <row r="112" ht="62" customHeight="1">
      <c r="A112" s="38" t="inlineStr">
        <is>
          <t>P9-16</t>
        </is>
      </c>
      <c r="B112" s="38" t="inlineStr">
        <is>
          <t>P9</t>
        </is>
      </c>
      <c r="C112" s="21" t="inlineStr">
        <is>
          <t>記録</t>
        </is>
      </c>
      <c r="D112" s="39" t="inlineStr">
        <is>
          <t>戌の日の安産祈願／マタニティフォト</t>
        </is>
      </c>
      <c r="E112" s="23" t="inlineStr">
        <is>
          <t>やるか</t>
        </is>
      </c>
      <c r="F112" s="23" t="inlineStr"/>
      <c r="G112" s="23" t="inlineStr">
        <is>
          <t>任意。体調と気候優先</t>
        </is>
      </c>
      <c r="H112" s="38" t="n">
        <v>31</v>
      </c>
      <c r="I112" s="40">
        <f>EDATE('はじめに'!$C$5,H112)</f>
        <v/>
      </c>
      <c r="J112" s="38" t="inlineStr">
        <is>
          <t>任意</t>
        </is>
      </c>
      <c r="K112" s="38" t="inlineStr">
        <is>
          <t>2人</t>
        </is>
      </c>
      <c r="L112" s="23" t="inlineStr">
        <is>
          <t>1〜5万円</t>
        </is>
      </c>
      <c r="M112" s="38" t="inlineStr"/>
      <c r="N112" s="37" t="inlineStr">
        <is>
          <t>未着手</t>
        </is>
      </c>
      <c r="O112" s="27" t="inlineStr"/>
    </row>
    <row r="113" ht="62" customHeight="1">
      <c r="A113" s="32" t="inlineStr">
        <is>
          <t>P10-01</t>
        </is>
      </c>
      <c r="B113" s="32" t="inlineStr">
        <is>
          <t>P10</t>
        </is>
      </c>
      <c r="C113" s="33" t="inlineStr">
        <is>
          <t>医療</t>
        </is>
      </c>
      <c r="D113" s="34" t="inlineStr">
        <is>
          <t>RSウイルス母子免疫ワクチン（アブリスボ）を接種する</t>
        </is>
      </c>
      <c r="E113" s="35" t="inlineStr">
        <is>
          <t>接種するか</t>
        </is>
      </c>
      <c r="F113" s="35" t="inlineStr">
        <is>
          <t>妊婦への母子免疫ワクチン／出生後の乳児にニルセビマブ（ベイフォータス）</t>
        </is>
      </c>
      <c r="G113" s="35" t="inlineStr">
        <is>
          <t>**2026年4月から定期接種（原則無料）。接種期間は妊娠28週0日〜36週6日と短い**。乳児のRSV重症化を防ぐ</t>
        </is>
      </c>
      <c r="H113" s="32" t="n">
        <v>34</v>
      </c>
      <c r="I113" s="36">
        <f>EDATE('はじめに'!$C$5,H113)</f>
        <v/>
      </c>
      <c r="J113" s="32" t="inlineStr">
        <is>
          <t>推奨</t>
        </is>
      </c>
      <c r="K113" s="32" t="inlineStr">
        <is>
          <t>妊娠する側</t>
        </is>
      </c>
      <c r="L113" s="35" t="inlineStr">
        <is>
          <t>0円（定期接種）</t>
        </is>
      </c>
      <c r="M113" s="32" t="inlineStr">
        <is>
          <t>P9-13</t>
        </is>
      </c>
      <c r="N113" s="37" t="inlineStr">
        <is>
          <t>未着手</t>
        </is>
      </c>
      <c r="O113" s="27" t="inlineStr"/>
    </row>
    <row r="114" ht="62" customHeight="1">
      <c r="A114" s="38" t="inlineStr">
        <is>
          <t>P10-02</t>
        </is>
      </c>
      <c r="B114" s="38" t="inlineStr">
        <is>
          <t>P10</t>
        </is>
      </c>
      <c r="C114" s="21" t="inlineStr">
        <is>
          <t>用品</t>
        </is>
      </c>
      <c r="D114" s="39" t="inlineStr">
        <is>
          <t>ベビーカーのメーカー・型を決める</t>
        </is>
      </c>
      <c r="E114" s="23" t="inlineStr">
        <is>
          <t>A型を買うか、いつ買うか、B型に買い替えるか</t>
        </is>
      </c>
      <c r="F114" s="23" t="inlineStr">
        <is>
          <t>**A型（1ヶ月〜）**：Aprica（オプティア等）／Combi（スゴカルα）／Cybex（Melio、Libelle）／Joie／Airbuggy／Bugaboo／Babyzen YOYO／Stokke　**B型（7ヶ月〜）**：Combi／Aprica／Maclaren／Babyzen</t>
        </is>
      </c>
      <c r="G114" s="23" t="inlineStr">
        <is>
          <t>判断軸：**自宅の玄関幅・エレベーター・段差**（実測する）／車のトランクに入るか／電車とバスをどれだけ使うか／重量（軽量4〜5kg vs 走行性重視6kg超）／両対面式が要るか／自立するか／片手で畳めるか。**都心＋電車中心ならコンパクト重視、車中心なら走行性重視**</t>
        </is>
      </c>
      <c r="H114" s="38" t="n">
        <v>34</v>
      </c>
      <c r="I114" s="40">
        <f>EDATE('はじめに'!$C$5,H114)</f>
        <v/>
      </c>
      <c r="J114" s="38" t="inlineStr">
        <is>
          <t>推奨</t>
        </is>
      </c>
      <c r="K114" s="38" t="inlineStr">
        <is>
          <t>2人</t>
        </is>
      </c>
      <c r="L114" s="23" t="inlineStr">
        <is>
          <t>3〜10万円</t>
        </is>
      </c>
      <c r="M114" s="38" t="inlineStr">
        <is>
          <t>P9-10</t>
        </is>
      </c>
      <c r="N114" s="37" t="inlineStr">
        <is>
          <t>未着手</t>
        </is>
      </c>
      <c r="O114" s="27" t="inlineStr"/>
    </row>
    <row r="115" ht="62" customHeight="1">
      <c r="A115" s="32" t="inlineStr">
        <is>
          <t>P10-03</t>
        </is>
      </c>
      <c r="B115" s="32" t="inlineStr">
        <is>
          <t>P10</t>
        </is>
      </c>
      <c r="C115" s="33" t="inlineStr">
        <is>
          <t>用品</t>
        </is>
      </c>
      <c r="D115" s="34" t="inlineStr">
        <is>
          <t>チャイルドシートを決めて車に取り付ける</t>
        </is>
      </c>
      <c r="E115" s="35" t="inlineStr">
        <is>
          <t>回転式か固定式か、いつ買うか</t>
        </is>
      </c>
      <c r="F115" s="35" t="inlineStr">
        <is>
          <t>Combi（クルムーヴ）／Aprica（フラディア）／Cybex（Sirona）／Maxi-Cosi／Joie／Britax Römer／Nuna</t>
        </is>
      </c>
      <c r="G115" s="35" t="inlineStr">
        <is>
          <t>**退院日に必須（6歳未満は法定義務）**。判断軸：ISOFIX対応か／回転式（乗せ降ろしが劇的に楽・重い）か固定式か／新生児から使えるか／R129適合／自車種の適合表を必ず確認。**取り付け練習を退院前にやる**</t>
        </is>
      </c>
      <c r="H115" s="32" t="n">
        <v>34</v>
      </c>
      <c r="I115" s="36">
        <f>EDATE('はじめに'!$C$5,H115)</f>
        <v/>
      </c>
      <c r="J115" s="32" t="inlineStr">
        <is>
          <t>法定</t>
        </is>
      </c>
      <c r="K115" s="32" t="inlineStr">
        <is>
          <t>パートナー</t>
        </is>
      </c>
      <c r="L115" s="35" t="inlineStr">
        <is>
          <t>3〜7万円</t>
        </is>
      </c>
      <c r="M115" s="32" t="inlineStr"/>
      <c r="N115" s="37" t="inlineStr">
        <is>
          <t>未着手</t>
        </is>
      </c>
      <c r="O115" s="27" t="inlineStr"/>
    </row>
    <row r="116" ht="62" customHeight="1">
      <c r="A116" s="38" t="inlineStr">
        <is>
          <t>P10-04</t>
        </is>
      </c>
      <c r="B116" s="38" t="inlineStr">
        <is>
          <t>P10</t>
        </is>
      </c>
      <c r="C116" s="21" t="inlineStr">
        <is>
          <t>用品</t>
        </is>
      </c>
      <c r="D116" s="39" t="inlineStr">
        <is>
          <t>抱っこ紐を決める（必ず試着する）</t>
        </is>
      </c>
      <c r="E116" s="23" t="inlineStr">
        <is>
          <t>新生児から使えるものにするか</t>
        </is>
      </c>
      <c r="F116" s="23" t="inlineStr">
        <is>
          <t>Ergobaby（Omni Breeze／Adapt）／BabyBjörn（Harmony／Mini）／Konny（軽量・布製）／napnap／Aprica／Boba／モンベル</t>
        </is>
      </c>
      <c r="G116" s="23" t="inlineStr">
        <is>
          <t>**体格との相性が激しいので必ず2人とも試着する**。判断軸：新生児対応（インサート要否）／腰ベルトの有無と腰痛／夏の蒸れ（メッシュ）／片手で装着できるか／洗えるか。**サブでコンパクトな物をもう1つ持つと機動力が上がる**</t>
        </is>
      </c>
      <c r="H116" s="38" t="n">
        <v>34</v>
      </c>
      <c r="I116" s="40">
        <f>EDATE('はじめに'!$C$5,H116)</f>
        <v/>
      </c>
      <c r="J116" s="38" t="inlineStr">
        <is>
          <t>推奨</t>
        </is>
      </c>
      <c r="K116" s="38" t="inlineStr">
        <is>
          <t>2人</t>
        </is>
      </c>
      <c r="L116" s="23" t="inlineStr">
        <is>
          <t>1.5〜4万円</t>
        </is>
      </c>
      <c r="M116" s="38" t="inlineStr"/>
      <c r="N116" s="37" t="inlineStr">
        <is>
          <t>未着手</t>
        </is>
      </c>
      <c r="O116" s="27" t="inlineStr"/>
    </row>
    <row r="117" ht="62" customHeight="1">
      <c r="A117" s="32" t="inlineStr">
        <is>
          <t>P10-05</t>
        </is>
      </c>
      <c r="B117" s="32" t="inlineStr">
        <is>
          <t>P10</t>
        </is>
      </c>
      <c r="C117" s="33" t="inlineStr">
        <is>
          <t>用品</t>
        </is>
      </c>
      <c r="D117" s="34" t="inlineStr">
        <is>
          <t>ベビーベッド・寝具を決める（買うかレンタルか）</t>
        </is>
      </c>
      <c r="E117" s="35" t="inlineStr">
        <is>
          <t>使う期間が短いものに投資するか</t>
        </is>
      </c>
      <c r="F117" s="35" t="inlineStr">
        <is>
          <t>購入（カトージ／ヤマサキ／IKEA）／レンタル（ベビレンタ／ナイスベビー／DMMいろいろレンタル）／ベビーベッドを使わない（床にベビー布団）</t>
        </is>
      </c>
      <c r="G117" s="35" t="inlineStr">
        <is>
          <t>**使うのは半年〜1年。レンタルが合理的なことが多い**。マットレスは硬いものを（柔らかい寝具は窒息リスク）。添い寝は窒息事故のリスクがある</t>
        </is>
      </c>
      <c r="H117" s="32" t="n">
        <v>34</v>
      </c>
      <c r="I117" s="36">
        <f>EDATE('はじめに'!$C$5,H117)</f>
        <v/>
      </c>
      <c r="J117" s="32" t="inlineStr">
        <is>
          <t>推奨</t>
        </is>
      </c>
      <c r="K117" s="32" t="inlineStr">
        <is>
          <t>2人</t>
        </is>
      </c>
      <c r="L117" s="35" t="inlineStr">
        <is>
          <t>1〜5万円</t>
        </is>
      </c>
      <c r="M117" s="32" t="inlineStr"/>
      <c r="N117" s="37" t="inlineStr">
        <is>
          <t>未着手</t>
        </is>
      </c>
      <c r="O117" s="27" t="inlineStr"/>
    </row>
    <row r="118" ht="62" customHeight="1">
      <c r="A118" s="38" t="inlineStr">
        <is>
          <t>P10-06</t>
        </is>
      </c>
      <c r="B118" s="38" t="inlineStr">
        <is>
          <t>P10</t>
        </is>
      </c>
      <c r="C118" s="21" t="inlineStr">
        <is>
          <t>用品</t>
        </is>
      </c>
      <c r="D118" s="39" t="inlineStr">
        <is>
          <t>おむつのメーカーを決める（買いだめしない）</t>
        </is>
      </c>
      <c r="E118" s="23" t="inlineStr">
        <is>
          <t>どこの銘柄が体型に合うか</t>
        </is>
      </c>
      <c r="F118" s="23" t="inlineStr">
        <is>
          <t>パンパース（はじめての肌へのいちばん＝新生児の定番／さらさらケア）／メリーズ／ムーニー・ナチュラルムーニー／グーン／マミーポコ／Amazon純正</t>
        </is>
      </c>
      <c r="G118" s="23" t="inlineStr">
        <is>
          <t>**新生児サイズは1ヶ月で終わるので1〜2袋だけ。体型で漏れ方が全く違うので、複数銘柄を少量ずつ試してから定期便に切り替える**</t>
        </is>
      </c>
      <c r="H118" s="38" t="n">
        <v>35</v>
      </c>
      <c r="I118" s="40">
        <f>EDATE('はじめに'!$C$5,H118)</f>
        <v/>
      </c>
      <c r="J118" s="38" t="inlineStr">
        <is>
          <t>推奨</t>
        </is>
      </c>
      <c r="K118" s="38" t="inlineStr">
        <is>
          <t>2人</t>
        </is>
      </c>
      <c r="L118" s="23" t="inlineStr">
        <is>
          <t>月5,000〜8,000円</t>
        </is>
      </c>
      <c r="M118" s="38" t="inlineStr"/>
      <c r="N118" s="37" t="inlineStr">
        <is>
          <t>未着手</t>
        </is>
      </c>
      <c r="O118" s="27" t="inlineStr"/>
    </row>
    <row r="119" ht="62" customHeight="1">
      <c r="A119" s="32" t="inlineStr">
        <is>
          <t>P10-07</t>
        </is>
      </c>
      <c r="B119" s="32" t="inlineStr">
        <is>
          <t>P10</t>
        </is>
      </c>
      <c r="C119" s="33" t="inlineStr">
        <is>
          <t>用品</t>
        </is>
      </c>
      <c r="D119" s="34" t="inlineStr">
        <is>
          <t>粉ミルク・液体ミルクの銘柄を決める</t>
        </is>
      </c>
      <c r="E119" s="35" t="inlineStr">
        <is>
          <t>完全母乳を目指すか、混合前提か</t>
        </is>
      </c>
      <c r="F119" s="35" t="inlineStr">
        <is>
          <t>**粉**：明治ほほえみ（らくらくキューブ）／森永はぐくみ／和光堂レーベンスミルクはいはい／ビーンスタークすこやかM1／グリコアイクレオ　**液体**：明治ほほえみらくらくミルク／アイクレオ赤ちゃんミルク／すこやかM1</t>
        </is>
      </c>
      <c r="G119" s="35" t="inlineStr">
        <is>
          <t>**完母予定でも必ず1缶は用意する**（母乳が出ない・預ける・災害）。判断軸：キューブ/スティックは計量不要で外出に強い／液体ミルクは夜間と災害時に圧倒的に楽／**赤ちゃんが銘柄を嫌がることがあるので大量買いは後で**</t>
        </is>
      </c>
      <c r="H119" s="32" t="n">
        <v>35</v>
      </c>
      <c r="I119" s="36">
        <f>EDATE('はじめに'!$C$5,H119)</f>
        <v/>
      </c>
      <c r="J119" s="32" t="inlineStr">
        <is>
          <t>推奨</t>
        </is>
      </c>
      <c r="K119" s="32" t="inlineStr">
        <is>
          <t>2人</t>
        </is>
      </c>
      <c r="L119" s="35" t="inlineStr">
        <is>
          <t>月8,000〜1.5万円</t>
        </is>
      </c>
      <c r="M119" s="32" t="inlineStr"/>
      <c r="N119" s="37" t="inlineStr">
        <is>
          <t>未着手</t>
        </is>
      </c>
      <c r="O119" s="27" t="inlineStr"/>
    </row>
    <row r="120" ht="62" customHeight="1">
      <c r="A120" s="38" t="inlineStr">
        <is>
          <t>P10-08</t>
        </is>
      </c>
      <c r="B120" s="38" t="inlineStr">
        <is>
          <t>P10</t>
        </is>
      </c>
      <c r="C120" s="21" t="inlineStr">
        <is>
          <t>用品</t>
        </is>
      </c>
      <c r="D120" s="39" t="inlineStr">
        <is>
          <t>哺乳瓶と消毒方法を決める</t>
        </is>
      </c>
      <c r="E120" s="23" t="inlineStr">
        <is>
          <t>瓶と乳首をどれにするか、消毒はどうするか</t>
        </is>
      </c>
      <c r="F120" s="23" t="inlineStr">
        <is>
          <t>**瓶**：ピジョン母乳実感（定番）／ドクターベッタ／ChuChu／コンビteteo／Philips Avent　**消毒**：電子レンジ（コンビ除菌じょ〜ずくん／ピジョン）／薬液（ミルトン／ミルクポン）／煮沸</t>
        </is>
      </c>
      <c r="G120" s="23" t="inlineStr">
        <is>
          <t>**乳首の相性で飲まないことがあるので最初は2本まで**。電子レンジ消毒が手間と時間のバランスが良い</t>
        </is>
      </c>
      <c r="H120" s="38" t="n">
        <v>35</v>
      </c>
      <c r="I120" s="40">
        <f>EDATE('はじめに'!$C$5,H120)</f>
        <v/>
      </c>
      <c r="J120" s="38" t="inlineStr">
        <is>
          <t>推奨</t>
        </is>
      </c>
      <c r="K120" s="38" t="inlineStr">
        <is>
          <t>2人</t>
        </is>
      </c>
      <c r="L120" s="23" t="inlineStr">
        <is>
          <t>5,000〜1万円</t>
        </is>
      </c>
      <c r="M120" s="38" t="inlineStr">
        <is>
          <t>P10-07</t>
        </is>
      </c>
      <c r="N120" s="37" t="inlineStr">
        <is>
          <t>未着手</t>
        </is>
      </c>
      <c r="O120" s="27" t="inlineStr"/>
    </row>
    <row r="121" ht="62" customHeight="1">
      <c r="A121" s="32" t="inlineStr">
        <is>
          <t>P10-09</t>
        </is>
      </c>
      <c r="B121" s="32" t="inlineStr">
        <is>
          <t>P10</t>
        </is>
      </c>
      <c r="C121" s="33" t="inlineStr">
        <is>
          <t>用品</t>
        </is>
      </c>
      <c r="D121" s="34" t="inlineStr">
        <is>
          <t>沐浴用品とスキンケア用品を決める</t>
        </is>
      </c>
      <c r="E121" s="35" t="inlineStr">
        <is>
          <t>保湿剤をどれにするか</t>
        </is>
      </c>
      <c r="F121" s="35" t="inlineStr">
        <is>
          <t>**沐浴**：ベビーバス（アップリカ／リッチェル／空気式）／衣装ケース代用　**保湿**：アトピタ／ママ&amp;キッズ／キュレルベビー／babyワセリン／ヒルドイド（処方）</t>
        </is>
      </c>
      <c r="G121" s="35" t="inlineStr">
        <is>
          <t>**新生児期からの全身保湿はアトピー性皮膚炎の発症を減らすというエビデンスがある**。ケチらず全身に塗る前提で大容量を選ぶ</t>
        </is>
      </c>
      <c r="H121" s="32" t="n">
        <v>35</v>
      </c>
      <c r="I121" s="36">
        <f>EDATE('はじめに'!$C$5,H121)</f>
        <v/>
      </c>
      <c r="J121" s="32" t="inlineStr">
        <is>
          <t>推奨</t>
        </is>
      </c>
      <c r="K121" s="32" t="inlineStr">
        <is>
          <t>2人</t>
        </is>
      </c>
      <c r="L121" s="35" t="inlineStr">
        <is>
          <t>5,000〜1万円</t>
        </is>
      </c>
      <c r="M121" s="32" t="inlineStr"/>
      <c r="N121" s="37" t="inlineStr">
        <is>
          <t>未着手</t>
        </is>
      </c>
      <c r="O121" s="27" t="inlineStr"/>
    </row>
    <row r="122" ht="62" customHeight="1">
      <c r="A122" s="38" t="inlineStr">
        <is>
          <t>P10-10</t>
        </is>
      </c>
      <c r="B122" s="38" t="inlineStr">
        <is>
          <t>P10</t>
        </is>
      </c>
      <c r="C122" s="21" t="inlineStr">
        <is>
          <t>用品</t>
        </is>
      </c>
      <c r="D122" s="39" t="inlineStr">
        <is>
          <t>電動鼻吸い器を買うか決める</t>
        </is>
      </c>
      <c r="E122" s="23" t="inlineStr">
        <is>
          <t>手動で足りるか</t>
        </is>
      </c>
      <c r="F122" s="23" t="inlineStr">
        <is>
          <t>メルシーポット（シースター）／ピジョン電動／ベビースマイル（handy）／口で吸うタイプ</t>
        </is>
      </c>
      <c r="G122" s="23" t="inlineStr">
        <is>
          <t>**生後半年以降の風邪と中耳炎予防で「買ってよかった」上位の定番**。据置型のほうが吸引力が高い</t>
        </is>
      </c>
      <c r="H122" s="38" t="n">
        <v>35</v>
      </c>
      <c r="I122" s="40">
        <f>EDATE('はじめに'!$C$5,H122)</f>
        <v/>
      </c>
      <c r="J122" s="38" t="inlineStr">
        <is>
          <t>任意</t>
        </is>
      </c>
      <c r="K122" s="38" t="inlineStr">
        <is>
          <t>2人</t>
        </is>
      </c>
      <c r="L122" s="23" t="inlineStr">
        <is>
          <t>5,000〜1.5万円</t>
        </is>
      </c>
      <c r="M122" s="38" t="inlineStr"/>
      <c r="N122" s="37" t="inlineStr">
        <is>
          <t>未着手</t>
        </is>
      </c>
      <c r="O122" s="27" t="inlineStr"/>
    </row>
    <row r="123" ht="62" customHeight="1">
      <c r="A123" s="32" t="inlineStr">
        <is>
          <t>P10-11</t>
        </is>
      </c>
      <c r="B123" s="32" t="inlineStr">
        <is>
          <t>P10</t>
        </is>
      </c>
      <c r="C123" s="33" t="inlineStr">
        <is>
          <t>用品</t>
        </is>
      </c>
      <c r="D123" s="34" t="inlineStr">
        <is>
          <t>その他の育児用品を揃える</t>
        </is>
      </c>
      <c r="E123" s="35" t="inlineStr">
        <is>
          <t>何を買い、何を借り、何をもらうか</t>
        </is>
      </c>
      <c r="F123" s="35" t="inlineStr">
        <is>
          <t>肌着・ツーウェイオール／ガーゼ／体温計／爪切りはさみ／おむつ用ゴミ箱／バウンサー・ハイローチェア（レンタル向き）／ベビーモニター（パナソニック／Cubo Ai）／プレイマット</t>
        </is>
      </c>
      <c r="G123" s="35" t="inlineStr">
        <is>
          <t>**バウンサー・ハイローチェアは使う子と使わない子の差が激しい。レンタルで試す**</t>
        </is>
      </c>
      <c r="H123" s="32" t="n">
        <v>35</v>
      </c>
      <c r="I123" s="36">
        <f>EDATE('はじめに'!$C$5,H123)</f>
        <v/>
      </c>
      <c r="J123" s="32" t="inlineStr">
        <is>
          <t>推奨</t>
        </is>
      </c>
      <c r="K123" s="32" t="inlineStr">
        <is>
          <t>2人</t>
        </is>
      </c>
      <c r="L123" s="35" t="inlineStr">
        <is>
          <t>10〜20万円</t>
        </is>
      </c>
      <c r="M123" s="32" t="inlineStr"/>
      <c r="N123" s="37" t="inlineStr">
        <is>
          <t>未着手</t>
        </is>
      </c>
      <c r="O123" s="27" t="inlineStr"/>
    </row>
    <row r="124" ht="62" customHeight="1">
      <c r="A124" s="38" t="inlineStr">
        <is>
          <t>P10-12</t>
        </is>
      </c>
      <c r="B124" s="38" t="inlineStr">
        <is>
          <t>P10</t>
        </is>
      </c>
      <c r="C124" s="21" t="inlineStr">
        <is>
          <t>準備</t>
        </is>
      </c>
      <c r="D124" s="39" t="inlineStr">
        <is>
          <t>入院バッグ（陣痛バッグ／入院バッグ）を用意する</t>
        </is>
      </c>
      <c r="E124" s="23" t="inlineStr"/>
      <c r="F124" s="23" t="inlineStr"/>
      <c r="G124" s="23" t="inlineStr">
        <is>
          <t>**33週までに完成させて玄関に置く**。陣痛バッグは自分で持てる重さに</t>
        </is>
      </c>
      <c r="H124" s="38" t="n">
        <v>35</v>
      </c>
      <c r="I124" s="40">
        <f>EDATE('はじめに'!$C$5,H124)</f>
        <v/>
      </c>
      <c r="J124" s="38" t="inlineStr">
        <is>
          <t>推奨</t>
        </is>
      </c>
      <c r="K124" s="38" t="inlineStr">
        <is>
          <t>2人</t>
        </is>
      </c>
      <c r="L124" s="23" t="inlineStr">
        <is>
          <t>-</t>
        </is>
      </c>
      <c r="M124" s="38" t="inlineStr"/>
      <c r="N124" s="37" t="inlineStr">
        <is>
          <t>未着手</t>
        </is>
      </c>
      <c r="O124" s="27" t="inlineStr"/>
    </row>
    <row r="125" ht="62" customHeight="1">
      <c r="A125" s="32" t="inlineStr">
        <is>
          <t>P10-13</t>
        </is>
      </c>
      <c r="B125" s="32" t="inlineStr">
        <is>
          <t>P10</t>
        </is>
      </c>
      <c r="C125" s="33" t="inlineStr">
        <is>
          <t>準備</t>
        </is>
      </c>
      <c r="D125" s="34" t="inlineStr">
        <is>
          <t>産後の家事外注を先に手配しておく</t>
        </is>
      </c>
      <c r="E125" s="35" t="inlineStr">
        <is>
          <t>何を外注するか、予算はいくらか</t>
        </is>
      </c>
      <c r="F125" s="35" t="inlineStr">
        <is>
          <t>宅配（コープ／パルシステム／らでぃっしゅぼーや）／ネットスーパー／ミールキット／家事代行（CaSy／ベアーズ／タスカジ）／産後ドゥーラ／自治体の産前産後ヘルパー</t>
        </is>
      </c>
      <c r="G125" s="35" t="inlineStr">
        <is>
          <t>**産後に探す余力はない。妊娠中に登録と初回利用まで済ませる**。「外注費は必要経費」と先に予算化しておくと、産後に費用で揉めない</t>
        </is>
      </c>
      <c r="H125" s="32" t="n">
        <v>35</v>
      </c>
      <c r="I125" s="36">
        <f>EDATE('はじめに'!$C$5,H125)</f>
        <v/>
      </c>
      <c r="J125" s="32" t="inlineStr">
        <is>
          <t>推奨</t>
        </is>
      </c>
      <c r="K125" s="32" t="inlineStr">
        <is>
          <t>2人</t>
        </is>
      </c>
      <c r="L125" s="35" t="inlineStr">
        <is>
          <t>月1〜5万円</t>
        </is>
      </c>
      <c r="M125" s="32" t="inlineStr">
        <is>
          <t>P9-09</t>
        </is>
      </c>
      <c r="N125" s="37" t="inlineStr">
        <is>
          <t>未着手</t>
        </is>
      </c>
      <c r="O125" s="27" t="inlineStr"/>
    </row>
    <row r="126" ht="62" customHeight="1">
      <c r="A126" s="38" t="inlineStr">
        <is>
          <t>P10-14</t>
        </is>
      </c>
      <c r="B126" s="38" t="inlineStr">
        <is>
          <t>P10</t>
        </is>
      </c>
      <c r="C126" s="21" t="inlineStr">
        <is>
          <t>行政</t>
        </is>
      </c>
      <c r="D126" s="39" t="inlineStr">
        <is>
          <t>産後ケア事業に事前申請しておく</t>
        </is>
      </c>
      <c r="E126" s="23" t="inlineStr">
        <is>
          <t>利用するか</t>
        </is>
      </c>
      <c r="F126" s="23" t="inlineStr">
        <is>
          <t>宿泊型／デイサービス型／訪問型</t>
        </is>
      </c>
      <c r="G126" s="23" t="inlineStr">
        <is>
          <t>**産後に申請しても間に合わないことが多い。妊娠中の事前登録が鉄則**。産後1年まで利用可</t>
        </is>
      </c>
      <c r="H126" s="38" t="n">
        <v>35</v>
      </c>
      <c r="I126" s="40">
        <f>EDATE('はじめに'!$C$5,H126)</f>
        <v/>
      </c>
      <c r="J126" s="38" t="inlineStr">
        <is>
          <t>推奨</t>
        </is>
      </c>
      <c r="K126" s="38" t="inlineStr">
        <is>
          <t>どちらか</t>
        </is>
      </c>
      <c r="L126" s="23" t="inlineStr">
        <is>
          <t>1回2,000〜6,000円</t>
        </is>
      </c>
      <c r="M126" s="38" t="inlineStr">
        <is>
          <t>P9-02</t>
        </is>
      </c>
      <c r="N126" s="37" t="inlineStr">
        <is>
          <t>未着手</t>
        </is>
      </c>
      <c r="O126" s="27" t="inlineStr"/>
    </row>
    <row r="127" ht="62" customHeight="1">
      <c r="A127" s="32" t="inlineStr">
        <is>
          <t>P10-15</t>
        </is>
      </c>
      <c r="B127" s="32" t="inlineStr">
        <is>
          <t>P10</t>
        </is>
      </c>
      <c r="C127" s="33" t="inlineStr">
        <is>
          <t>仕事</t>
        </is>
      </c>
      <c r="D127" s="34" t="inlineStr">
        <is>
          <t>父の育休プランを確定し、会社に申し出る</t>
        </is>
      </c>
      <c r="E127" s="35" t="inlineStr">
        <is>
          <t>いつ、どれだけ、何回に分けて取るか</t>
        </is>
      </c>
      <c r="F127" s="35" t="inlineStr">
        <is>
          <t>産後パパ育休（産後8週以内に最大4週、2回分割）＋育休本体（1歳まで、2回分割）</t>
        </is>
      </c>
      <c r="G127" s="35" t="inlineStr">
        <is>
          <t>**「産後すぐ2週間だけ」は最悪の設計。一番きついのは生後1〜3ヶ月**。①退院〜産後3週 ②生後1〜3ヶ月 ③復職直前の慣らし保育期 に分割するのが実務的に強い。両親とも14日以上取ると出生後休業支援給付金で手取り実質10割</t>
        </is>
      </c>
      <c r="H127" s="32" t="n">
        <v>34</v>
      </c>
      <c r="I127" s="36">
        <f>EDATE('はじめに'!$C$5,H127)</f>
        <v/>
      </c>
      <c r="J127" s="32" t="inlineStr">
        <is>
          <t>推奨</t>
        </is>
      </c>
      <c r="K127" s="32" t="inlineStr">
        <is>
          <t>パートナー</t>
        </is>
      </c>
      <c r="L127" s="35" t="inlineStr">
        <is>
          <t>-</t>
        </is>
      </c>
      <c r="M127" s="32" t="inlineStr">
        <is>
          <t>P7-12</t>
        </is>
      </c>
      <c r="N127" s="37" t="inlineStr">
        <is>
          <t>未着手</t>
        </is>
      </c>
      <c r="O127" s="27" t="inlineStr"/>
    </row>
    <row r="128" ht="62" customHeight="1">
      <c r="A128" s="38" t="inlineStr">
        <is>
          <t>P10-16</t>
        </is>
      </c>
      <c r="B128" s="38" t="inlineStr">
        <is>
          <t>P10</t>
        </is>
      </c>
      <c r="C128" s="21" t="inlineStr">
        <is>
          <t>仕事</t>
        </is>
      </c>
      <c r="D128" s="39" t="inlineStr">
        <is>
          <t>母の産前休業（34週0日〜）と業務引き継ぎ</t>
        </is>
      </c>
      <c r="E128" s="23" t="inlineStr"/>
      <c r="F128" s="23" t="inlineStr"/>
      <c r="G128" s="23" t="inlineStr">
        <is>
          <t>産前6週から取得可（任意）</t>
        </is>
      </c>
      <c r="H128" s="38" t="n">
        <v>35</v>
      </c>
      <c r="I128" s="40">
        <f>EDATE('はじめに'!$C$5,H128)</f>
        <v/>
      </c>
      <c r="J128" s="38" t="inlineStr">
        <is>
          <t>法定</t>
        </is>
      </c>
      <c r="K128" s="38" t="inlineStr">
        <is>
          <t>妊娠する側</t>
        </is>
      </c>
      <c r="L128" s="23" t="inlineStr">
        <is>
          <t>-</t>
        </is>
      </c>
      <c r="M128" s="38" t="inlineStr"/>
      <c r="N128" s="37" t="inlineStr">
        <is>
          <t>未着手</t>
        </is>
      </c>
      <c r="O128" s="27" t="inlineStr"/>
    </row>
    <row r="129" ht="62" customHeight="1">
      <c r="A129" s="32" t="inlineStr">
        <is>
          <t>P10-17</t>
        </is>
      </c>
      <c r="B129" s="32" t="inlineStr">
        <is>
          <t>P10</t>
        </is>
      </c>
      <c r="C129" s="33" t="inlineStr">
        <is>
          <t>妊娠</t>
        </is>
      </c>
      <c r="D129" s="34" t="inlineStr">
        <is>
          <t>名前を決める</t>
        </is>
      </c>
      <c r="E129" s="35" t="inlineStr">
        <is>
          <t>どう決めるか、親の意見をどこまで入れるか</t>
        </is>
      </c>
      <c r="F129" s="35" t="inlineStr"/>
      <c r="G129" s="35" t="inlineStr">
        <is>
          <t>**出生届は14日以内。産後に揉めると詰む**。使える漢字（人名用漢字）を確認</t>
        </is>
      </c>
      <c r="H129" s="32" t="n">
        <v>36</v>
      </c>
      <c r="I129" s="36">
        <f>EDATE('はじめに'!$C$5,H129)</f>
        <v/>
      </c>
      <c r="J129" s="32" t="inlineStr">
        <is>
          <t>推奨</t>
        </is>
      </c>
      <c r="K129" s="32" t="inlineStr">
        <is>
          <t>2人</t>
        </is>
      </c>
      <c r="L129" s="35" t="inlineStr">
        <is>
          <t>-</t>
        </is>
      </c>
      <c r="M129" s="32" t="inlineStr"/>
      <c r="N129" s="37" t="inlineStr">
        <is>
          <t>未着手</t>
        </is>
      </c>
      <c r="O129" s="27" t="inlineStr"/>
    </row>
    <row r="130" ht="62" customHeight="1">
      <c r="A130" s="38" t="inlineStr">
        <is>
          <t>P10-18</t>
        </is>
      </c>
      <c r="B130" s="38" t="inlineStr">
        <is>
          <t>P10</t>
        </is>
      </c>
      <c r="C130" s="21" t="inlineStr">
        <is>
          <t>準備</t>
        </is>
      </c>
      <c r="D130" s="39" t="inlineStr">
        <is>
          <t>陣痛時の連絡フロー・搬送手段を紙に書いて貼る</t>
        </is>
      </c>
      <c r="E130" s="23" t="inlineStr">
        <is>
          <t>父が不在・深夜のときどうするか</t>
        </is>
      </c>
      <c r="F130" s="23" t="inlineStr">
        <is>
          <t>陣痛タクシー（日本交通／kmタクシー等の事前登録）／自家用車／実母</t>
        </is>
      </c>
      <c r="G130" s="23" t="inlineStr">
        <is>
          <t>**平日昼・深夜・出張中の3パターンを想定する**</t>
        </is>
      </c>
      <c r="H130" s="38" t="n">
        <v>36</v>
      </c>
      <c r="I130" s="40">
        <f>EDATE('はじめに'!$C$5,H130)</f>
        <v/>
      </c>
      <c r="J130" s="38" t="inlineStr">
        <is>
          <t>推奨</t>
        </is>
      </c>
      <c r="K130" s="38" t="inlineStr">
        <is>
          <t>2人</t>
        </is>
      </c>
      <c r="L130" s="23" t="inlineStr">
        <is>
          <t>-</t>
        </is>
      </c>
      <c r="M130" s="38" t="inlineStr">
        <is>
          <t>P9-04</t>
        </is>
      </c>
      <c r="N130" s="37" t="inlineStr">
        <is>
          <t>未着手</t>
        </is>
      </c>
      <c r="O130" s="27" t="inlineStr"/>
    </row>
    <row r="131" ht="62" customHeight="1">
      <c r="A131" s="32" t="inlineStr">
        <is>
          <t>P10-19</t>
        </is>
      </c>
      <c r="B131" s="32" t="inlineStr">
        <is>
          <t>P10</t>
        </is>
      </c>
      <c r="C131" s="33" t="inlineStr">
        <is>
          <t>関係</t>
        </is>
      </c>
      <c r="D131" s="34" t="inlineStr">
        <is>
          <t>実家・義実家の来訪ルールを合意し、各自が自分の親に伝える</t>
        </is>
      </c>
      <c r="E131" s="35" t="inlineStr">
        <is>
          <t>いつから、何日、泊まりか日帰りか</t>
        </is>
      </c>
      <c r="F131" s="35" t="inlineStr">
        <is>
          <t>産後2週間は来訪なし／日中2時間まで／退院直後から泊まり込みで手伝ってもらう</t>
        </is>
      </c>
      <c r="G131" s="35" t="inlineStr">
        <is>
          <t>**産後の最大の火種。「各自が自分の実親に伝える」を徹底する**。相手の親に言わせると恨みが残る</t>
        </is>
      </c>
      <c r="H131" s="32" t="n">
        <v>36</v>
      </c>
      <c r="I131" s="36">
        <f>EDATE('はじめに'!$C$5,H131)</f>
        <v/>
      </c>
      <c r="J131" s="32" t="inlineStr">
        <is>
          <t>推奨</t>
        </is>
      </c>
      <c r="K131" s="32" t="inlineStr">
        <is>
          <t>2人</t>
        </is>
      </c>
      <c r="L131" s="35" t="inlineStr">
        <is>
          <t>-</t>
        </is>
      </c>
      <c r="M131" s="32" t="inlineStr"/>
      <c r="N131" s="37" t="inlineStr">
        <is>
          <t>未着手</t>
        </is>
      </c>
      <c r="O131" s="27" t="inlineStr"/>
    </row>
    <row r="132" ht="62" customHeight="1">
      <c r="A132" s="38" t="inlineStr">
        <is>
          <t>P10-20</t>
        </is>
      </c>
      <c r="B132" s="38" t="inlineStr">
        <is>
          <t>P10</t>
        </is>
      </c>
      <c r="C132" s="21" t="inlineStr">
        <is>
          <t>お金</t>
        </is>
      </c>
      <c r="D132" s="39" t="inlineStr">
        <is>
          <t>産後1年の資金繰り表を作る</t>
        </is>
      </c>
      <c r="E132" s="23" t="inlineStr">
        <is>
          <t>給付金が入るまでの現金は足りるか</t>
        </is>
      </c>
      <c r="F132" s="23" t="inlineStr"/>
      <c r="G132" s="23" t="inlineStr">
        <is>
          <t>**出産手当金・育休給付の初回入金は産後2〜4ヶ月後**。その間を耐える現金（生活費3〜4ヶ月分）を確保</t>
        </is>
      </c>
      <c r="H132" s="38" t="n">
        <v>36</v>
      </c>
      <c r="I132" s="40">
        <f>EDATE('はじめに'!$C$5,H132)</f>
        <v/>
      </c>
      <c r="J132" s="38" t="inlineStr">
        <is>
          <t>推奨</t>
        </is>
      </c>
      <c r="K132" s="38" t="inlineStr">
        <is>
          <t>2人</t>
        </is>
      </c>
      <c r="L132" s="23" t="inlineStr">
        <is>
          <t>-</t>
        </is>
      </c>
      <c r="M132" s="38" t="inlineStr"/>
      <c r="N132" s="37" t="inlineStr">
        <is>
          <t>未着手</t>
        </is>
      </c>
      <c r="O132" s="27" t="inlineStr"/>
    </row>
    <row r="133" ht="62" customHeight="1">
      <c r="A133" s="32" t="inlineStr">
        <is>
          <t>P11-01</t>
        </is>
      </c>
      <c r="B133" s="32" t="inlineStr">
        <is>
          <t>P11</t>
        </is>
      </c>
      <c r="C133" s="33" t="inlineStr">
        <is>
          <t>出産</t>
        </is>
      </c>
      <c r="D133" s="34" t="inlineStr">
        <is>
          <t>出産・入院（5〜7日）</t>
        </is>
      </c>
      <c r="E133" s="35" t="inlineStr"/>
      <c r="F133" s="35" t="inlineStr"/>
      <c r="G133" s="35" t="inlineStr"/>
      <c r="H133" s="32" t="n">
        <v>37</v>
      </c>
      <c r="I133" s="36">
        <f>EDATE('はじめに'!$C$5,H133)</f>
        <v/>
      </c>
      <c r="J133" s="32" t="inlineStr">
        <is>
          <t>推奨</t>
        </is>
      </c>
      <c r="K133" s="32" t="inlineStr">
        <is>
          <t>妊娠する側</t>
        </is>
      </c>
      <c r="L133" s="35" t="inlineStr">
        <is>
          <t>50〜70万円（一時金50万円充当）</t>
        </is>
      </c>
      <c r="M133" s="32" t="inlineStr"/>
      <c r="N133" s="37" t="inlineStr">
        <is>
          <t>未着手</t>
        </is>
      </c>
      <c r="O133" s="27" t="inlineStr"/>
    </row>
    <row r="134" ht="62" customHeight="1">
      <c r="A134" s="38" t="inlineStr">
        <is>
          <t>P11-02</t>
        </is>
      </c>
      <c r="B134" s="38" t="inlineStr">
        <is>
          <t>P11</t>
        </is>
      </c>
      <c r="C134" s="21" t="inlineStr">
        <is>
          <t>出産</t>
        </is>
      </c>
      <c r="D134" s="39" t="inlineStr">
        <is>
          <t>出生証明書を受け取り、コピーを取る</t>
        </is>
      </c>
      <c r="E134" s="23" t="inlineStr"/>
      <c r="F134" s="23" t="inlineStr"/>
      <c r="G134" s="23" t="inlineStr">
        <is>
          <t>出生届と一体の用紙。紛失厳禁</t>
        </is>
      </c>
      <c r="H134" s="38" t="n">
        <v>37</v>
      </c>
      <c r="I134" s="40">
        <f>EDATE('はじめに'!$C$5,H134)</f>
        <v/>
      </c>
      <c r="J134" s="38" t="inlineStr">
        <is>
          <t>法定</t>
        </is>
      </c>
      <c r="K134" s="38" t="inlineStr">
        <is>
          <t>パートナー</t>
        </is>
      </c>
      <c r="L134" s="23" t="inlineStr">
        <is>
          <t>-</t>
        </is>
      </c>
      <c r="M134" s="38" t="inlineStr">
        <is>
          <t>P11-01</t>
        </is>
      </c>
      <c r="N134" s="37" t="inlineStr">
        <is>
          <t>未着手</t>
        </is>
      </c>
      <c r="O134" s="27" t="inlineStr"/>
    </row>
    <row r="135" ht="62" customHeight="1">
      <c r="A135" s="32" t="inlineStr">
        <is>
          <t>P11-03</t>
        </is>
      </c>
      <c r="B135" s="32" t="inlineStr">
        <is>
          <t>P11</t>
        </is>
      </c>
      <c r="C135" s="33" t="inlineStr">
        <is>
          <t>手続き</t>
        </is>
      </c>
      <c r="D135" s="34" t="inlineStr">
        <is>
          <t>出生届を提出する</t>
        </is>
      </c>
      <c r="E135" s="35" t="inlineStr">
        <is>
          <t>誰がいつ行くか</t>
        </is>
      </c>
      <c r="F135" s="35" t="inlineStr"/>
      <c r="G135" s="35" t="inlineStr">
        <is>
          <t>**出生日を含めて14日以内**。夜間・休日窓口も可</t>
        </is>
      </c>
      <c r="H135" s="32" t="n">
        <v>37</v>
      </c>
      <c r="I135" s="36">
        <f>EDATE('はじめに'!$C$5,H135)</f>
        <v/>
      </c>
      <c r="J135" s="32" t="inlineStr">
        <is>
          <t>法定</t>
        </is>
      </c>
      <c r="K135" s="32" t="inlineStr">
        <is>
          <t>パートナー</t>
        </is>
      </c>
      <c r="L135" s="35" t="inlineStr">
        <is>
          <t>-</t>
        </is>
      </c>
      <c r="M135" s="32" t="inlineStr">
        <is>
          <t>P11-02</t>
        </is>
      </c>
      <c r="N135" s="37" t="inlineStr">
        <is>
          <t>未着手</t>
        </is>
      </c>
      <c r="O135" s="27" t="inlineStr"/>
    </row>
    <row r="136" ht="62" customHeight="1">
      <c r="A136" s="38" t="inlineStr">
        <is>
          <t>P11-04</t>
        </is>
      </c>
      <c r="B136" s="38" t="inlineStr">
        <is>
          <t>P11</t>
        </is>
      </c>
      <c r="C136" s="21" t="inlineStr">
        <is>
          <t>手続き</t>
        </is>
      </c>
      <c r="D136" s="39" t="inlineStr">
        <is>
          <t>児童手当の認定請求</t>
        </is>
      </c>
      <c r="E136" s="23" t="inlineStr"/>
      <c r="F136" s="23" t="inlineStr"/>
      <c r="G136" s="23" t="inlineStr">
        <is>
          <t>**出生日の翌日から15日以内。外すと1ヶ月分（1〜3万円）消える**。3歳未満は月15,000円</t>
        </is>
      </c>
      <c r="H136" s="38" t="n">
        <v>37</v>
      </c>
      <c r="I136" s="40">
        <f>EDATE('はじめに'!$C$5,H136)</f>
        <v/>
      </c>
      <c r="J136" s="38" t="inlineStr">
        <is>
          <t>法定</t>
        </is>
      </c>
      <c r="K136" s="38" t="inlineStr">
        <is>
          <t>パートナー</t>
        </is>
      </c>
      <c r="L136" s="23" t="inlineStr">
        <is>
          <t>+月1.5万円</t>
        </is>
      </c>
      <c r="M136" s="38" t="inlineStr">
        <is>
          <t>P11-03</t>
        </is>
      </c>
      <c r="N136" s="37" t="inlineStr">
        <is>
          <t>未着手</t>
        </is>
      </c>
      <c r="O136" s="27" t="inlineStr"/>
    </row>
    <row r="137" ht="62" customHeight="1">
      <c r="A137" s="32" t="inlineStr">
        <is>
          <t>P11-05</t>
        </is>
      </c>
      <c r="B137" s="32" t="inlineStr">
        <is>
          <t>P11</t>
        </is>
      </c>
      <c r="C137" s="33" t="inlineStr">
        <is>
          <t>手続き</t>
        </is>
      </c>
      <c r="D137" s="34" t="inlineStr">
        <is>
          <t>健康保険への加入（扶養追加）</t>
        </is>
      </c>
      <c r="E137" s="35" t="inlineStr">
        <is>
          <t>どちらの扶養に入れるか</t>
        </is>
      </c>
      <c r="F137" s="35" t="inlineStr">
        <is>
          <t>父の社保／母の社保／国保</t>
        </is>
      </c>
      <c r="G137" s="35" t="inlineStr">
        <is>
          <t>**1ヶ月健診までに保険証が要る**。国保は14日以内</t>
        </is>
      </c>
      <c r="H137" s="32" t="n">
        <v>37</v>
      </c>
      <c r="I137" s="36">
        <f>EDATE('はじめに'!$C$5,H137)</f>
        <v/>
      </c>
      <c r="J137" s="32" t="inlineStr">
        <is>
          <t>法定</t>
        </is>
      </c>
      <c r="K137" s="32" t="inlineStr">
        <is>
          <t>どちらか</t>
        </is>
      </c>
      <c r="L137" s="35" t="inlineStr">
        <is>
          <t>-</t>
        </is>
      </c>
      <c r="M137" s="32" t="inlineStr">
        <is>
          <t>P11-03</t>
        </is>
      </c>
      <c r="N137" s="37" t="inlineStr">
        <is>
          <t>未着手</t>
        </is>
      </c>
      <c r="O137" s="27" t="inlineStr"/>
    </row>
    <row r="138" ht="62" customHeight="1">
      <c r="A138" s="38" t="inlineStr">
        <is>
          <t>P11-06</t>
        </is>
      </c>
      <c r="B138" s="38" t="inlineStr">
        <is>
          <t>P11</t>
        </is>
      </c>
      <c r="C138" s="21" t="inlineStr">
        <is>
          <t>手続き</t>
        </is>
      </c>
      <c r="D138" s="39" t="inlineStr">
        <is>
          <t>乳幼児医療費助成（医療証）の申請</t>
        </is>
      </c>
      <c r="E138" s="23" t="inlineStr"/>
      <c r="F138" s="23" t="inlineStr"/>
      <c r="G138" s="23" t="inlineStr">
        <is>
          <t>保険証取得後すみやかに。届くまでの受診分は領収書を保管して償還払い</t>
        </is>
      </c>
      <c r="H138" s="38" t="n">
        <v>37</v>
      </c>
      <c r="I138" s="40">
        <f>EDATE('はじめに'!$C$5,H138)</f>
        <v/>
      </c>
      <c r="J138" s="38" t="inlineStr">
        <is>
          <t>法定</t>
        </is>
      </c>
      <c r="K138" s="38" t="inlineStr">
        <is>
          <t>パートナー</t>
        </is>
      </c>
      <c r="L138" s="23" t="inlineStr">
        <is>
          <t>-</t>
        </is>
      </c>
      <c r="M138" s="38" t="inlineStr">
        <is>
          <t>P11-05</t>
        </is>
      </c>
      <c r="N138" s="37" t="inlineStr">
        <is>
          <t>未着手</t>
        </is>
      </c>
      <c r="O138" s="27" t="inlineStr"/>
    </row>
    <row r="139" ht="62" customHeight="1">
      <c r="A139" s="32" t="inlineStr">
        <is>
          <t>P11-07</t>
        </is>
      </c>
      <c r="B139" s="32" t="inlineStr">
        <is>
          <t>P11</t>
        </is>
      </c>
      <c r="C139" s="33" t="inlineStr">
        <is>
          <t>手続き</t>
        </is>
      </c>
      <c r="D139" s="34" t="inlineStr">
        <is>
          <t>出生連絡票の提出・新生児訪問の依頼</t>
        </is>
      </c>
      <c r="E139" s="35" t="inlineStr"/>
      <c r="F139" s="35" t="inlineStr"/>
      <c r="G139" s="35" t="inlineStr">
        <is>
          <t>**これを出さないと新生児訪問が来ない自治体がある**</t>
        </is>
      </c>
      <c r="H139" s="32" t="n">
        <v>37</v>
      </c>
      <c r="I139" s="36">
        <f>EDATE('はじめに'!$C$5,H139)</f>
        <v/>
      </c>
      <c r="J139" s="32" t="inlineStr">
        <is>
          <t>推奨</t>
        </is>
      </c>
      <c r="K139" s="32" t="inlineStr">
        <is>
          <t>パートナー</t>
        </is>
      </c>
      <c r="L139" s="35" t="inlineStr">
        <is>
          <t>-</t>
        </is>
      </c>
      <c r="M139" s="32" t="inlineStr">
        <is>
          <t>P11-03</t>
        </is>
      </c>
      <c r="N139" s="37" t="inlineStr">
        <is>
          <t>未着手</t>
        </is>
      </c>
      <c r="O139" s="27" t="inlineStr"/>
    </row>
    <row r="140" ht="62" customHeight="1">
      <c r="A140" s="38" t="inlineStr">
        <is>
          <t>P11-08</t>
        </is>
      </c>
      <c r="B140" s="38" t="inlineStr">
        <is>
          <t>P11</t>
        </is>
      </c>
      <c r="C140" s="21" t="inlineStr">
        <is>
          <t>手続き</t>
        </is>
      </c>
      <c r="D140" s="39" t="inlineStr">
        <is>
          <t>妊婦のための支援給付（第2回5万円）の申請</t>
        </is>
      </c>
      <c r="E140" s="23" t="inlineStr"/>
      <c r="F140" s="23" t="inlineStr"/>
      <c r="G140" s="23" t="inlineStr">
        <is>
          <t>面談とセットの自治体が多い</t>
        </is>
      </c>
      <c r="H140" s="38" t="n">
        <v>38</v>
      </c>
      <c r="I140" s="40">
        <f>EDATE('はじめに'!$C$5,H140)</f>
        <v/>
      </c>
      <c r="J140" s="38" t="inlineStr">
        <is>
          <t>推奨</t>
        </is>
      </c>
      <c r="K140" s="38" t="inlineStr">
        <is>
          <t>どちらか</t>
        </is>
      </c>
      <c r="L140" s="23" t="inlineStr">
        <is>
          <t>+5万円</t>
        </is>
      </c>
      <c r="M140" s="38" t="inlineStr">
        <is>
          <t>P11-07</t>
        </is>
      </c>
      <c r="N140" s="37" t="inlineStr">
        <is>
          <t>未着手</t>
        </is>
      </c>
      <c r="O140" s="27" t="inlineStr"/>
    </row>
    <row r="141" ht="62" customHeight="1">
      <c r="A141" s="32" t="inlineStr">
        <is>
          <t>P11-09</t>
        </is>
      </c>
      <c r="B141" s="32" t="inlineStr">
        <is>
          <t>P11</t>
        </is>
      </c>
      <c r="C141" s="33" t="inlineStr">
        <is>
          <t>手続き</t>
        </is>
      </c>
      <c r="D141" s="34" t="inlineStr">
        <is>
          <t>子のマイナンバーカードの申請と公金受取口座の登録</t>
        </is>
      </c>
      <c r="E141" s="35" t="inlineStr"/>
      <c r="F141" s="35" t="inlineStr"/>
      <c r="G141" s="35" t="inlineStr">
        <is>
          <t>**1歳未満は顔写真不要**</t>
        </is>
      </c>
      <c r="H141" s="32" t="n">
        <v>38</v>
      </c>
      <c r="I141" s="36">
        <f>EDATE('はじめに'!$C$5,H141)</f>
        <v/>
      </c>
      <c r="J141" s="32" t="inlineStr">
        <is>
          <t>任意</t>
        </is>
      </c>
      <c r="K141" s="32" t="inlineStr">
        <is>
          <t>パートナー</t>
        </is>
      </c>
      <c r="L141" s="35" t="inlineStr">
        <is>
          <t>-</t>
        </is>
      </c>
      <c r="M141" s="32" t="inlineStr">
        <is>
          <t>P11-03</t>
        </is>
      </c>
      <c r="N141" s="37" t="inlineStr">
        <is>
          <t>未着手</t>
        </is>
      </c>
      <c r="O141" s="27" t="inlineStr"/>
    </row>
    <row r="142" ht="62" customHeight="1">
      <c r="A142" s="38" t="inlineStr">
        <is>
          <t>P11-10</t>
        </is>
      </c>
      <c r="B142" s="38" t="inlineStr">
        <is>
          <t>P11</t>
        </is>
      </c>
      <c r="C142" s="21" t="inlineStr">
        <is>
          <t>お金</t>
        </is>
      </c>
      <c r="D142" s="39" t="inlineStr">
        <is>
          <t>出産育児一時金の精算／出産手当金／育児休業給付金の申請</t>
        </is>
      </c>
      <c r="E142" s="23" t="inlineStr"/>
      <c r="F142" s="23" t="inlineStr"/>
      <c r="G142" s="23" t="inlineStr">
        <is>
          <t>出産手当金は産後56日経過後。育休給付は育休開始から4ヶ月を経過する日の属する月末まで</t>
        </is>
      </c>
      <c r="H142" s="38" t="n">
        <v>38</v>
      </c>
      <c r="I142" s="40">
        <f>EDATE('はじめに'!$C$5,H142)</f>
        <v/>
      </c>
      <c r="J142" s="38" t="inlineStr">
        <is>
          <t>法定</t>
        </is>
      </c>
      <c r="K142" s="38" t="inlineStr">
        <is>
          <t>2人</t>
        </is>
      </c>
      <c r="L142" s="23" t="inlineStr">
        <is>
          <t>+数十万円</t>
        </is>
      </c>
      <c r="M142" s="38" t="inlineStr">
        <is>
          <t>P11-05</t>
        </is>
      </c>
      <c r="N142" s="37" t="inlineStr">
        <is>
          <t>未着手</t>
        </is>
      </c>
      <c r="O142" s="27" t="inlineStr"/>
    </row>
    <row r="143" ht="62" customHeight="1">
      <c r="A143" s="32" t="inlineStr">
        <is>
          <t>P11-11</t>
        </is>
      </c>
      <c r="B143" s="32" t="inlineStr">
        <is>
          <t>P11</t>
        </is>
      </c>
      <c r="C143" s="33" t="inlineStr">
        <is>
          <t>お金</t>
        </is>
      </c>
      <c r="D143" s="34" t="inlineStr">
        <is>
          <t>出生後休業支援給付金の申請（両親とも育休を取る場合）</t>
        </is>
      </c>
      <c r="E143" s="35" t="inlineStr"/>
      <c r="F143" s="35" t="inlineStr"/>
      <c r="G143" s="35" t="inlineStr">
        <is>
          <t>**両親ともに14日以上の育休で最大28日分13%上乗せ → 手取り実質10割**</t>
        </is>
      </c>
      <c r="H143" s="32" t="n">
        <v>38</v>
      </c>
      <c r="I143" s="36">
        <f>EDATE('はじめに'!$C$5,H143)</f>
        <v/>
      </c>
      <c r="J143" s="32" t="inlineStr">
        <is>
          <t>推奨</t>
        </is>
      </c>
      <c r="K143" s="32" t="inlineStr">
        <is>
          <t>2人</t>
        </is>
      </c>
      <c r="L143" s="35" t="inlineStr">
        <is>
          <t>-</t>
        </is>
      </c>
      <c r="M143" s="32" t="inlineStr">
        <is>
          <t>P10-15</t>
        </is>
      </c>
      <c r="N143" s="37" t="inlineStr">
        <is>
          <t>未着手</t>
        </is>
      </c>
      <c r="O143" s="27" t="inlineStr"/>
    </row>
    <row r="144" ht="62" customHeight="1">
      <c r="A144" s="38" t="inlineStr">
        <is>
          <t>P11-12</t>
        </is>
      </c>
      <c r="B144" s="38" t="inlineStr">
        <is>
          <t>P11</t>
        </is>
      </c>
      <c r="C144" s="21" t="inlineStr">
        <is>
          <t>育児</t>
        </is>
      </c>
      <c r="D144" s="39" t="inlineStr">
        <is>
          <t>産後3週間は母を横にする体制を実行する</t>
        </is>
      </c>
      <c r="E144" s="23" t="inlineStr">
        <is>
          <t>誰が家を回すか</t>
        </is>
      </c>
      <c r="F144" s="23" t="inlineStr"/>
      <c r="G144" s="23" t="inlineStr">
        <is>
          <t>**産後の体は全治1〜2ヶ月の重傷。「動けるから動く」を止めるのがパートナーの仕事**</t>
        </is>
      </c>
      <c r="H144" s="38" t="n">
        <v>37</v>
      </c>
      <c r="I144" s="40">
        <f>EDATE('はじめに'!$C$5,H144)</f>
        <v/>
      </c>
      <c r="J144" s="38" t="inlineStr">
        <is>
          <t>推奨</t>
        </is>
      </c>
      <c r="K144" s="38" t="inlineStr">
        <is>
          <t>パートナー</t>
        </is>
      </c>
      <c r="L144" s="23" t="inlineStr">
        <is>
          <t>-</t>
        </is>
      </c>
      <c r="M144" s="38" t="inlineStr">
        <is>
          <t>P10-13</t>
        </is>
      </c>
      <c r="N144" s="37" t="inlineStr">
        <is>
          <t>未着手</t>
        </is>
      </c>
      <c r="O144" s="27" t="inlineStr"/>
    </row>
    <row r="145" ht="62" customHeight="1">
      <c r="A145" s="32" t="inlineStr">
        <is>
          <t>P11-13</t>
        </is>
      </c>
      <c r="B145" s="32" t="inlineStr">
        <is>
          <t>P11</t>
        </is>
      </c>
      <c r="C145" s="33" t="inlineStr">
        <is>
          <t>育児</t>
        </is>
      </c>
      <c r="D145" s="34" t="inlineStr">
        <is>
          <t>夜間対応の分担ルールを決める</t>
        </is>
      </c>
      <c r="E145" s="35" t="inlineStr">
        <is>
          <t>誰がいつ起きるか</t>
        </is>
      </c>
      <c r="F145" s="35" t="inlineStr">
        <is>
          <t>完全交代制（3時間ずつ）／授乳は母・おむつと寝かしつけは父／週末だけ父が全部</t>
        </is>
      </c>
      <c r="G145" s="35" t="inlineStr">
        <is>
          <t>**「気づいた方が起きる」は、気づく方（母）に全部乗る**。時間で機械的に切る</t>
        </is>
      </c>
      <c r="H145" s="32" t="n">
        <v>37</v>
      </c>
      <c r="I145" s="36">
        <f>EDATE('はじめに'!$C$5,H145)</f>
        <v/>
      </c>
      <c r="J145" s="32" t="inlineStr">
        <is>
          <t>推奨</t>
        </is>
      </c>
      <c r="K145" s="32" t="inlineStr">
        <is>
          <t>2人</t>
        </is>
      </c>
      <c r="L145" s="35" t="inlineStr">
        <is>
          <t>-</t>
        </is>
      </c>
      <c r="M145" s="32" t="inlineStr"/>
      <c r="N145" s="37" t="inlineStr">
        <is>
          <t>未着手</t>
        </is>
      </c>
      <c r="O145" s="27" t="inlineStr"/>
    </row>
    <row r="146" ht="62" customHeight="1">
      <c r="A146" s="38" t="inlineStr">
        <is>
          <t>P11-14</t>
        </is>
      </c>
      <c r="B146" s="38" t="inlineStr">
        <is>
          <t>P11</t>
        </is>
      </c>
      <c r="C146" s="21" t="inlineStr">
        <is>
          <t>医療</t>
        </is>
      </c>
      <c r="D146" s="39" t="inlineStr">
        <is>
          <t>産後2週間健診（母のEPDSスクリーニング）・新生児訪問</t>
        </is>
      </c>
      <c r="E146" s="23" t="inlineStr"/>
      <c r="F146" s="23" t="inlineStr"/>
      <c r="G146" s="23" t="inlineStr">
        <is>
          <t>**産後うつの発見に直結する。必ず行く**</t>
        </is>
      </c>
      <c r="H146" s="38" t="n">
        <v>38</v>
      </c>
      <c r="I146" s="40">
        <f>EDATE('はじめに'!$C$5,H146)</f>
        <v/>
      </c>
      <c r="J146" s="38" t="inlineStr">
        <is>
          <t>推奨</t>
        </is>
      </c>
      <c r="K146" s="38" t="inlineStr">
        <is>
          <t>2人</t>
        </is>
      </c>
      <c r="L146" s="23" t="inlineStr">
        <is>
          <t>0〜5,000円</t>
        </is>
      </c>
      <c r="M146" s="38" t="inlineStr">
        <is>
          <t>P11-07</t>
        </is>
      </c>
      <c r="N146" s="37" t="inlineStr">
        <is>
          <t>未着手</t>
        </is>
      </c>
      <c r="O146" s="27" t="inlineStr"/>
    </row>
    <row r="147" ht="62" customHeight="1">
      <c r="A147" s="32" t="inlineStr">
        <is>
          <t>P11-15</t>
        </is>
      </c>
      <c r="B147" s="32" t="inlineStr">
        <is>
          <t>P11</t>
        </is>
      </c>
      <c r="C147" s="33" t="inlineStr">
        <is>
          <t>関係</t>
        </is>
      </c>
      <c r="D147" s="34" t="inlineStr">
        <is>
          <t>産後うつの兆候を毎週チェックする</t>
        </is>
      </c>
      <c r="E147" s="35" t="inlineStr">
        <is>
          <t>何が出たら受診するか</t>
        </is>
      </c>
      <c r="F147" s="35" t="inlineStr">
        <is>
          <t>眠れない／涙が止まらない／赤ちゃんが可愛く思えない／自分を責め続ける／食べられない</t>
        </is>
      </c>
      <c r="G147" s="35" t="inlineStr">
        <is>
          <t>**マタニティブルーズは2週間で軽快する。2週間を超えたら産後うつを疑い、保健センターか産科へ**</t>
        </is>
      </c>
      <c r="H147" s="32" t="n">
        <v>38</v>
      </c>
      <c r="I147" s="36">
        <f>EDATE('はじめに'!$C$5,H147)</f>
        <v/>
      </c>
      <c r="J147" s="32" t="inlineStr">
        <is>
          <t>推奨</t>
        </is>
      </c>
      <c r="K147" s="32" t="inlineStr">
        <is>
          <t>パートナー</t>
        </is>
      </c>
      <c r="L147" s="35" t="inlineStr">
        <is>
          <t>-</t>
        </is>
      </c>
      <c r="M147" s="32" t="inlineStr">
        <is>
          <t>P11-14</t>
        </is>
      </c>
      <c r="N147" s="37" t="inlineStr">
        <is>
          <t>未着手</t>
        </is>
      </c>
      <c r="O147" s="27" t="inlineStr"/>
    </row>
    <row r="148" ht="62" customHeight="1">
      <c r="A148" s="38" t="inlineStr">
        <is>
          <t>P11-16</t>
        </is>
      </c>
      <c r="B148" s="38" t="inlineStr">
        <is>
          <t>P11</t>
        </is>
      </c>
      <c r="C148" s="21" t="inlineStr">
        <is>
          <t>記録</t>
        </is>
      </c>
      <c r="D148" s="39" t="inlineStr">
        <is>
          <t>お七夜・命名書・内祝いの手配</t>
        </is>
      </c>
      <c r="E148" s="23" t="inlineStr"/>
      <c r="F148" s="23" t="inlineStr"/>
      <c r="G148" s="23" t="inlineStr">
        <is>
          <t>内祝いはいただいてから1ヶ月以内、相場は半返し</t>
        </is>
      </c>
      <c r="H148" s="38" t="n">
        <v>38</v>
      </c>
      <c r="I148" s="40">
        <f>EDATE('はじめに'!$C$5,H148)</f>
        <v/>
      </c>
      <c r="J148" s="38" t="inlineStr">
        <is>
          <t>任意</t>
        </is>
      </c>
      <c r="K148" s="38" t="inlineStr">
        <is>
          <t>2人</t>
        </is>
      </c>
      <c r="L148" s="23" t="inlineStr">
        <is>
          <t>-</t>
        </is>
      </c>
      <c r="M148" s="38" t="inlineStr"/>
      <c r="N148" s="37" t="inlineStr">
        <is>
          <t>未着手</t>
        </is>
      </c>
      <c r="O148" s="27" t="inlineStr"/>
    </row>
    <row r="149" ht="62" customHeight="1">
      <c r="A149" s="32" t="inlineStr">
        <is>
          <t>P12-01</t>
        </is>
      </c>
      <c r="B149" s="32" t="inlineStr">
        <is>
          <t>P12</t>
        </is>
      </c>
      <c r="C149" s="33" t="inlineStr">
        <is>
          <t>医療</t>
        </is>
      </c>
      <c r="D149" s="34" t="inlineStr">
        <is>
          <t>1ヶ月健診（子＋母の回復チェック）</t>
        </is>
      </c>
      <c r="E149" s="35" t="inlineStr"/>
      <c r="F149" s="35" t="inlineStr"/>
      <c r="G149" s="35" t="inlineStr">
        <is>
          <t>ここで母の入浴・運動・性交渉の再開許可が出る</t>
        </is>
      </c>
      <c r="H149" s="32" t="n">
        <v>39</v>
      </c>
      <c r="I149" s="36">
        <f>EDATE('はじめに'!$C$5,H149)</f>
        <v/>
      </c>
      <c r="J149" s="32" t="inlineStr">
        <is>
          <t>推奨</t>
        </is>
      </c>
      <c r="K149" s="32" t="inlineStr">
        <is>
          <t>2人</t>
        </is>
      </c>
      <c r="L149" s="35" t="inlineStr">
        <is>
          <t>5,000〜1万円</t>
        </is>
      </c>
      <c r="M149" s="32" t="inlineStr">
        <is>
          <t>P11-01</t>
        </is>
      </c>
      <c r="N149" s="37" t="inlineStr">
        <is>
          <t>未着手</t>
        </is>
      </c>
      <c r="O149" s="27" t="inlineStr"/>
    </row>
    <row r="150" ht="62" customHeight="1">
      <c r="A150" s="38" t="inlineStr">
        <is>
          <t>P12-02</t>
        </is>
      </c>
      <c r="B150" s="38" t="inlineStr">
        <is>
          <t>P12</t>
        </is>
      </c>
      <c r="C150" s="21" t="inlineStr">
        <is>
          <t>医療</t>
        </is>
      </c>
      <c r="D150" s="39" t="inlineStr">
        <is>
          <t>かかりつけ小児科を決める</t>
        </is>
      </c>
      <c r="E150" s="23" t="inlineStr">
        <is>
          <t>予防接種用と病気用を分けるか</t>
        </is>
      </c>
      <c r="F150" s="23" t="inlineStr"/>
      <c r="G150" s="23" t="inlineStr">
        <is>
          <t>判断軸：**予防接種の予約の取りやすさ**／土曜診療／夜間の電話相談／駐車場とベビーカー動線／病児保育の併設</t>
        </is>
      </c>
      <c r="H150" s="38" t="n">
        <v>39</v>
      </c>
      <c r="I150" s="40">
        <f>EDATE('はじめに'!$C$5,H150)</f>
        <v/>
      </c>
      <c r="J150" s="38" t="inlineStr">
        <is>
          <t>推奨</t>
        </is>
      </c>
      <c r="K150" s="38" t="inlineStr">
        <is>
          <t>2人</t>
        </is>
      </c>
      <c r="L150" s="23" t="inlineStr">
        <is>
          <t>-</t>
        </is>
      </c>
      <c r="M150" s="38" t="inlineStr"/>
      <c r="N150" s="37" t="inlineStr">
        <is>
          <t>未着手</t>
        </is>
      </c>
      <c r="O150" s="27" t="inlineStr"/>
    </row>
    <row r="151" ht="62" customHeight="1">
      <c r="A151" s="32" t="inlineStr">
        <is>
          <t>P12-03</t>
        </is>
      </c>
      <c r="B151" s="32" t="inlineStr">
        <is>
          <t>P12</t>
        </is>
      </c>
      <c r="C151" s="33" t="inlineStr">
        <is>
          <t>医療</t>
        </is>
      </c>
      <c r="D151" s="34" t="inlineStr">
        <is>
          <t>予防接種のスケジュールを作り、生後2ヶ月の枠を予約する</t>
        </is>
      </c>
      <c r="E151" s="35" t="inlineStr">
        <is>
          <t>同時接種にするか</t>
        </is>
      </c>
      <c r="F151" s="35" t="inlineStr">
        <is>
          <t>2ヶ月：ロタ①・B型肝炎①・五種混合①・小児用肺炎球菌①（同時接種）</t>
        </is>
      </c>
      <c r="G151" s="35" t="inlineStr">
        <is>
          <t>**ロタ①は生後14週6日までに開始しないと生涯接種不可**。1ヶ月健診の帰りに予約するのが最適。同時接種は世界標準</t>
        </is>
      </c>
      <c r="H151" s="32" t="n">
        <v>39</v>
      </c>
      <c r="I151" s="36">
        <f>EDATE('はじめに'!$C$5,H151)</f>
        <v/>
      </c>
      <c r="J151" s="32" t="inlineStr">
        <is>
          <t>法定</t>
        </is>
      </c>
      <c r="K151" s="32" t="inlineStr">
        <is>
          <t>2人</t>
        </is>
      </c>
      <c r="L151" s="35" t="inlineStr">
        <is>
          <t>0円（定期接種）</t>
        </is>
      </c>
      <c r="M151" s="32" t="inlineStr">
        <is>
          <t>P12-02</t>
        </is>
      </c>
      <c r="N151" s="37" t="inlineStr">
        <is>
          <t>未着手</t>
        </is>
      </c>
      <c r="O151" s="27" t="inlineStr"/>
    </row>
    <row r="152" ht="62" customHeight="1">
      <c r="A152" s="38" t="inlineStr">
        <is>
          <t>P12-04</t>
        </is>
      </c>
      <c r="B152" s="38" t="inlineStr">
        <is>
          <t>P12</t>
        </is>
      </c>
      <c r="C152" s="21" t="inlineStr">
        <is>
          <t>医療</t>
        </is>
      </c>
      <c r="D152" s="39" t="inlineStr">
        <is>
          <t>予防接種の実行（2・3・4ヶ月）と母子手帳への記録</t>
        </is>
      </c>
      <c r="E152" s="23" t="inlineStr"/>
      <c r="F152" s="23" t="inlineStr"/>
      <c r="G152" s="23" t="inlineStr">
        <is>
          <t>前回から27日以上あける</t>
        </is>
      </c>
      <c r="H152" s="38" t="n">
        <v>40</v>
      </c>
      <c r="I152" s="40">
        <f>EDATE('はじめに'!$C$5,H152)</f>
        <v/>
      </c>
      <c r="J152" s="38" t="inlineStr">
        <is>
          <t>法定</t>
        </is>
      </c>
      <c r="K152" s="38" t="inlineStr">
        <is>
          <t>2人</t>
        </is>
      </c>
      <c r="L152" s="23" t="inlineStr">
        <is>
          <t>-</t>
        </is>
      </c>
      <c r="M152" s="38" t="inlineStr">
        <is>
          <t>P12-03</t>
        </is>
      </c>
      <c r="N152" s="37" t="inlineStr">
        <is>
          <t>未着手</t>
        </is>
      </c>
      <c r="O152" s="27" t="inlineStr"/>
    </row>
    <row r="153" ht="62" customHeight="1">
      <c r="A153" s="32" t="inlineStr">
        <is>
          <t>P12-05</t>
        </is>
      </c>
      <c r="B153" s="32" t="inlineStr">
        <is>
          <t>P12</t>
        </is>
      </c>
      <c r="C153" s="33" t="inlineStr">
        <is>
          <t>医療</t>
        </is>
      </c>
      <c r="D153" s="34" t="inlineStr">
        <is>
          <t>3〜4ヶ月児健診</t>
        </is>
      </c>
      <c r="E153" s="35" t="inlineStr"/>
      <c r="F153" s="35" t="inlineStr"/>
      <c r="G153" s="35" t="inlineStr">
        <is>
          <t>首すわり、追視、股関節。問診票は事前記入</t>
        </is>
      </c>
      <c r="H153" s="32" t="n">
        <v>41</v>
      </c>
      <c r="I153" s="36">
        <f>EDATE('はじめに'!$C$5,H153)</f>
        <v/>
      </c>
      <c r="J153" s="32" t="inlineStr">
        <is>
          <t>推奨</t>
        </is>
      </c>
      <c r="K153" s="32" t="inlineStr">
        <is>
          <t>2人</t>
        </is>
      </c>
      <c r="L153" s="35" t="inlineStr">
        <is>
          <t>0円</t>
        </is>
      </c>
      <c r="M153" s="32" t="inlineStr">
        <is>
          <t>P12-01</t>
        </is>
      </c>
      <c r="N153" s="37" t="inlineStr">
        <is>
          <t>未着手</t>
        </is>
      </c>
      <c r="O153" s="27" t="inlineStr"/>
    </row>
    <row r="154" ht="62" customHeight="1">
      <c r="A154" s="38" t="inlineStr">
        <is>
          <t>P12-06</t>
        </is>
      </c>
      <c r="B154" s="38" t="inlineStr">
        <is>
          <t>P12</t>
        </is>
      </c>
      <c r="C154" s="21" t="inlineStr">
        <is>
          <t>医療</t>
        </is>
      </c>
      <c r="D154" s="39" t="inlineStr">
        <is>
          <t>BCG接種（生後5〜8ヶ月）</t>
        </is>
      </c>
      <c r="E154" s="23" t="inlineStr"/>
      <c r="F154" s="23" t="inlineStr">
        <is>
          <t>集団接種／個別接種（自治体による）</t>
        </is>
      </c>
      <c r="G154" s="23" t="inlineStr">
        <is>
          <t>**1歳未満が期限**</t>
        </is>
      </c>
      <c r="H154" s="38" t="n">
        <v>42</v>
      </c>
      <c r="I154" s="40">
        <f>EDATE('はじめに'!$C$5,H154)</f>
        <v/>
      </c>
      <c r="J154" s="38" t="inlineStr">
        <is>
          <t>法定</t>
        </is>
      </c>
      <c r="K154" s="38" t="inlineStr">
        <is>
          <t>2人</t>
        </is>
      </c>
      <c r="L154" s="23" t="inlineStr">
        <is>
          <t>0円</t>
        </is>
      </c>
      <c r="M154" s="38" t="inlineStr">
        <is>
          <t>P12-04</t>
        </is>
      </c>
      <c r="N154" s="37" t="inlineStr">
        <is>
          <t>未着手</t>
        </is>
      </c>
      <c r="O154" s="27" t="inlineStr"/>
    </row>
    <row r="155" ht="62" customHeight="1">
      <c r="A155" s="32" t="inlineStr">
        <is>
          <t>P12-07</t>
        </is>
      </c>
      <c r="B155" s="32" t="inlineStr">
        <is>
          <t>P12</t>
        </is>
      </c>
      <c r="C155" s="33" t="inlineStr">
        <is>
          <t>育児</t>
        </is>
      </c>
      <c r="D155" s="34" t="inlineStr">
        <is>
          <t>生活リズムを固定する（起床・昼寝・入浴・就寝）</t>
        </is>
      </c>
      <c r="E155" s="35" t="inlineStr"/>
      <c r="F155" s="35" t="inlineStr"/>
      <c r="G155" s="35" t="inlineStr">
        <is>
          <t>生後3〜4ヶ月で体内時計ができる。4ヶ月頃の睡眠退行に焦らない</t>
        </is>
      </c>
      <c r="H155" s="32" t="n">
        <v>40</v>
      </c>
      <c r="I155" s="36">
        <f>EDATE('はじめに'!$C$5,H155)</f>
        <v/>
      </c>
      <c r="J155" s="32" t="inlineStr">
        <is>
          <t>推奨</t>
        </is>
      </c>
      <c r="K155" s="32" t="inlineStr">
        <is>
          <t>2人</t>
        </is>
      </c>
      <c r="L155" s="35" t="inlineStr">
        <is>
          <t>-</t>
        </is>
      </c>
      <c r="M155" s="32" t="inlineStr"/>
      <c r="N155" s="37" t="inlineStr">
        <is>
          <t>未着手</t>
        </is>
      </c>
      <c r="O155" s="27" t="inlineStr"/>
    </row>
    <row r="156" ht="62" customHeight="1">
      <c r="A156" s="38" t="inlineStr">
        <is>
          <t>P12-08</t>
        </is>
      </c>
      <c r="B156" s="38" t="inlineStr">
        <is>
          <t>P12</t>
        </is>
      </c>
      <c r="C156" s="21" t="inlineStr">
        <is>
          <t>安全</t>
        </is>
      </c>
      <c r="D156" s="39" t="inlineStr">
        <is>
          <t>寝返り前に部屋を安全化する</t>
        </is>
      </c>
      <c r="E156" s="23" t="inlineStr"/>
      <c r="F156" s="23" t="inlineStr">
        <is>
          <t>ベッドからの転落防止／窒息物の撤去／ジョイントマット</t>
        </is>
      </c>
      <c r="G156" s="23" t="inlineStr">
        <is>
          <t>**突然寝返る。目を離す場所を先に安全にしておく**</t>
        </is>
      </c>
      <c r="H156" s="38" t="n">
        <v>41</v>
      </c>
      <c r="I156" s="40">
        <f>EDATE('はじめに'!$C$5,H156)</f>
        <v/>
      </c>
      <c r="J156" s="38" t="inlineStr">
        <is>
          <t>推奨</t>
        </is>
      </c>
      <c r="K156" s="38" t="inlineStr">
        <is>
          <t>2人</t>
        </is>
      </c>
      <c r="L156" s="23" t="inlineStr">
        <is>
          <t>1〜3万円</t>
        </is>
      </c>
      <c r="M156" s="38" t="inlineStr"/>
      <c r="N156" s="37" t="inlineStr">
        <is>
          <t>未着手</t>
        </is>
      </c>
      <c r="O156" s="27" t="inlineStr"/>
    </row>
    <row r="157" ht="62" customHeight="1">
      <c r="A157" s="32" t="inlineStr">
        <is>
          <t>P12-09</t>
        </is>
      </c>
      <c r="B157" s="32" t="inlineStr">
        <is>
          <t>P12</t>
        </is>
      </c>
      <c r="C157" s="33" t="inlineStr">
        <is>
          <t>離乳食</t>
        </is>
      </c>
      <c r="D157" s="34" t="inlineStr">
        <is>
          <t>離乳食のメーカー（ベビーフード）を決める</t>
        </is>
      </c>
      <c r="E157" s="35" t="inlineStr">
        <is>
          <t>手作りとベビーフードの比率をどうするか</t>
        </is>
      </c>
      <c r="F157" s="35" t="inlineStr">
        <is>
          <t>**レトルト・瓶**：和光堂（グーグーキッチン／はじめての離乳食）／キユーピー（瓶詰の定番）／ピジョン／明治／森永　**冷凍**：コープ（産直うらごし野菜キューブ・白身魚の刻みが優秀）／the kindest／Homeal　**その他**：グリコ（1歳からの幼児食）／無印良品</t>
        </is>
      </c>
      <c r="G157" s="35" t="inlineStr">
        <is>
          <t>**手作りが偉いわけではない。市販品のほうが栄養設計と衛生管理は安定している**。判断軸：月齢区分の細かさ／アレルゲン表示／常温保存できるか（外出用）／冷凍キューブは下ごしらえの時短として別枠で優秀／価格（1食100〜250円）。**まず和光堂・キユーピーを数種類試し、コープの冷凍キューブを併用する型が最も現実的**</t>
        </is>
      </c>
      <c r="H157" s="32" t="n">
        <v>42</v>
      </c>
      <c r="I157" s="36">
        <f>EDATE('はじめに'!$C$5,H157)</f>
        <v/>
      </c>
      <c r="J157" s="32" t="inlineStr">
        <is>
          <t>推奨</t>
        </is>
      </c>
      <c r="K157" s="32" t="inlineStr">
        <is>
          <t>2人</t>
        </is>
      </c>
      <c r="L157" s="35" t="inlineStr">
        <is>
          <t>月3,000〜1万円</t>
        </is>
      </c>
      <c r="M157" s="32" t="inlineStr"/>
      <c r="N157" s="37" t="inlineStr">
        <is>
          <t>未着手</t>
        </is>
      </c>
      <c r="O157" s="27" t="inlineStr"/>
    </row>
    <row r="158" ht="62" customHeight="1">
      <c r="A158" s="38" t="inlineStr">
        <is>
          <t>P12-10</t>
        </is>
      </c>
      <c r="B158" s="38" t="inlineStr">
        <is>
          <t>P12</t>
        </is>
      </c>
      <c r="C158" s="21" t="inlineStr">
        <is>
          <t>離乳食</t>
        </is>
      </c>
      <c r="D158" s="39" t="inlineStr">
        <is>
          <t>離乳食グッズを揃える</t>
        </is>
      </c>
      <c r="E158" s="23" t="inlineStr">
        <is>
          <t>何にお金をかけ、何を省くか</t>
        </is>
      </c>
      <c r="F158" s="23" t="inlineStr">
        <is>
          <t>**ハイチェア**：ストッケ トリップトラップ（長く使える・高い）／大和屋すくすく／カトージ／IKEAアンティロープ（安い）／Bumbo（床置き）　**調理**：ブラウン／クイジナート／BRUNOのブレンダー、リッチェルの冷凍小分けトレー　**食器**：EDISON／リッチェル／10mois</t>
        </is>
      </c>
      <c r="G158" s="23" t="inlineStr">
        <is>
          <t>**すり鉢・裏ごし器・ブレンダーは初期の2ヶ月しか使わない。過剰投資しない**。冷凍小分けトレーとシリコンビブは費用対効果が高い</t>
        </is>
      </c>
      <c r="H158" s="38" t="n">
        <v>42</v>
      </c>
      <c r="I158" s="40">
        <f>EDATE('はじめに'!$C$5,H158)</f>
        <v/>
      </c>
      <c r="J158" s="38" t="inlineStr">
        <is>
          <t>推奨</t>
        </is>
      </c>
      <c r="K158" s="38" t="inlineStr">
        <is>
          <t>2人</t>
        </is>
      </c>
      <c r="L158" s="23" t="inlineStr">
        <is>
          <t>1〜6万円</t>
        </is>
      </c>
      <c r="M158" s="38" t="inlineStr">
        <is>
          <t>P12-09</t>
        </is>
      </c>
      <c r="N158" s="37" t="inlineStr">
        <is>
          <t>未着手</t>
        </is>
      </c>
      <c r="O158" s="27" t="inlineStr"/>
    </row>
    <row r="159" ht="62" customHeight="1">
      <c r="A159" s="32" t="inlineStr">
        <is>
          <t>P12-11</t>
        </is>
      </c>
      <c r="B159" s="32" t="inlineStr">
        <is>
          <t>P12</t>
        </is>
      </c>
      <c r="C159" s="33" t="inlineStr">
        <is>
          <t>離乳食</t>
        </is>
      </c>
      <c r="D159" s="34" t="inlineStr">
        <is>
          <t>離乳食を開始する（5〜6ヶ月、ゴックン期）</t>
        </is>
      </c>
      <c r="E159" s="35" t="inlineStr">
        <is>
          <t>いつ始めるか</t>
        </is>
      </c>
      <c r="F159" s="35" t="inlineStr">
        <is>
          <t>10倍がゆ小さじ1 → 野菜 → 豆腐・白身魚 → 固ゆで卵黄</t>
        </is>
      </c>
      <c r="G159" s="35" t="inlineStr">
        <is>
          <t>**1日1回、午前中（何かあれば病院に行ける時間）**。新食材は1日1種類・小さじ1から</t>
        </is>
      </c>
      <c r="H159" s="32" t="n">
        <v>42</v>
      </c>
      <c r="I159" s="36">
        <f>EDATE('はじめに'!$C$5,H159)</f>
        <v/>
      </c>
      <c r="J159" s="32" t="inlineStr">
        <is>
          <t>推奨</t>
        </is>
      </c>
      <c r="K159" s="32" t="inlineStr">
        <is>
          <t>2人</t>
        </is>
      </c>
      <c r="L159" s="35" t="inlineStr">
        <is>
          <t>-</t>
        </is>
      </c>
      <c r="M159" s="32" t="inlineStr">
        <is>
          <t>P12-09</t>
        </is>
      </c>
      <c r="N159" s="37" t="inlineStr">
        <is>
          <t>未着手</t>
        </is>
      </c>
      <c r="O159" s="27" t="inlineStr"/>
    </row>
    <row r="160" ht="62" customHeight="1">
      <c r="A160" s="38" t="inlineStr">
        <is>
          <t>P12-12</t>
        </is>
      </c>
      <c r="B160" s="38" t="inlineStr">
        <is>
          <t>P12</t>
        </is>
      </c>
      <c r="C160" s="21" t="inlineStr">
        <is>
          <t>離乳食</t>
        </is>
      </c>
      <c r="D160" s="39" t="inlineStr">
        <is>
          <t>アレルギー確認のルールと発症時の対応を2人で共有する</t>
        </is>
      </c>
      <c r="E160" s="23" t="inlineStr">
        <is>
          <t>卵をいつ始めるか、出たらどうするか</t>
        </is>
      </c>
      <c r="F160" s="23" t="inlineStr">
        <is>
          <t>固ゆで卵黄を耳かき1杯から（生後5〜6ヶ月）</t>
        </is>
      </c>
      <c r="G160" s="23" t="inlineStr">
        <is>
          <t>**遅らせるほうがアレルギーのリスクは上がる**。発疹・嘔吐・呼吸苦が出たらかかりつけ or 救急。#8000を登録</t>
        </is>
      </c>
      <c r="H160" s="38" t="n">
        <v>42</v>
      </c>
      <c r="I160" s="40">
        <f>EDATE('はじめに'!$C$5,H160)</f>
        <v/>
      </c>
      <c r="J160" s="38" t="inlineStr">
        <is>
          <t>推奨</t>
        </is>
      </c>
      <c r="K160" s="38" t="inlineStr">
        <is>
          <t>2人</t>
        </is>
      </c>
      <c r="L160" s="23" t="inlineStr">
        <is>
          <t>-</t>
        </is>
      </c>
      <c r="M160" s="38" t="inlineStr">
        <is>
          <t>P12-11</t>
        </is>
      </c>
      <c r="N160" s="37" t="inlineStr">
        <is>
          <t>未着手</t>
        </is>
      </c>
      <c r="O160" s="27" t="inlineStr"/>
    </row>
    <row r="161" ht="62" customHeight="1">
      <c r="A161" s="32" t="inlineStr">
        <is>
          <t>P12-13</t>
        </is>
      </c>
      <c r="B161" s="32" t="inlineStr">
        <is>
          <t>P12</t>
        </is>
      </c>
      <c r="C161" s="33" t="inlineStr">
        <is>
          <t>記録</t>
        </is>
      </c>
      <c r="D161" s="34" t="inlineStr">
        <is>
          <t>お食い初め（100日）／ハーフバースデー</t>
        </is>
      </c>
      <c r="E161" s="35" t="inlineStr"/>
      <c r="F161" s="35" t="inlineStr"/>
      <c r="G161" s="35" t="inlineStr">
        <is>
          <t>自宅の仕出しセットで十分</t>
        </is>
      </c>
      <c r="H161" s="32" t="n">
        <v>41</v>
      </c>
      <c r="I161" s="36">
        <f>EDATE('はじめに'!$C$5,H161)</f>
        <v/>
      </c>
      <c r="J161" s="32" t="inlineStr">
        <is>
          <t>任意</t>
        </is>
      </c>
      <c r="K161" s="32" t="inlineStr">
        <is>
          <t>2人</t>
        </is>
      </c>
      <c r="L161" s="35" t="inlineStr">
        <is>
          <t>1〜5万円</t>
        </is>
      </c>
      <c r="M161" s="32" t="inlineStr"/>
      <c r="N161" s="37" t="inlineStr">
        <is>
          <t>未着手</t>
        </is>
      </c>
      <c r="O161" s="27" t="inlineStr"/>
    </row>
    <row r="162" ht="62" customHeight="1">
      <c r="A162" s="38" t="inlineStr">
        <is>
          <t>P12-14</t>
        </is>
      </c>
      <c r="B162" s="38" t="inlineStr">
        <is>
          <t>P12</t>
        </is>
      </c>
      <c r="C162" s="21" t="inlineStr">
        <is>
          <t>仕事</t>
        </is>
      </c>
      <c r="D162" s="39" t="inlineStr">
        <is>
          <t>復職の時期を職場とすり合わせる</t>
        </is>
      </c>
      <c r="E162" s="23" t="inlineStr">
        <is>
          <t>いつ戻るか、時短にするか</t>
        </is>
      </c>
      <c r="F162" s="23" t="inlineStr"/>
      <c r="G162" s="23" t="inlineStr">
        <is>
          <t>保育園の申込月から逆算</t>
        </is>
      </c>
      <c r="H162" s="38" t="n">
        <v>42</v>
      </c>
      <c r="I162" s="40">
        <f>EDATE('はじめに'!$C$5,H162)</f>
        <v/>
      </c>
      <c r="J162" s="38" t="inlineStr">
        <is>
          <t>推奨</t>
        </is>
      </c>
      <c r="K162" s="38" t="inlineStr">
        <is>
          <t>妊娠する側</t>
        </is>
      </c>
      <c r="L162" s="23" t="inlineStr">
        <is>
          <t>-</t>
        </is>
      </c>
      <c r="M162" s="38" t="inlineStr"/>
      <c r="N162" s="37" t="inlineStr">
        <is>
          <t>未着手</t>
        </is>
      </c>
      <c r="O162" s="27" t="inlineStr"/>
    </row>
    <row r="163" ht="62" customHeight="1">
      <c r="A163" s="32" t="inlineStr">
        <is>
          <t>P13-01</t>
        </is>
      </c>
      <c r="B163" s="32" t="inlineStr">
        <is>
          <t>P13</t>
        </is>
      </c>
      <c r="C163" s="33" t="inlineStr">
        <is>
          <t>保活</t>
        </is>
      </c>
      <c r="D163" s="34" t="inlineStr">
        <is>
          <t>認可保育園の申込書類を揃える（就労証明書の依頼を含む）</t>
        </is>
      </c>
      <c r="E163" s="35" t="inlineStr">
        <is>
          <t>いつ誰に依頼するか</t>
        </is>
      </c>
      <c r="F163" s="35" t="inlineStr"/>
      <c r="G163" s="35" t="inlineStr">
        <is>
          <t>**就労証明書は会社発行に2〜4週間かかる。夫婦両方必要**。10月申込なら9月上旬に依頼</t>
        </is>
      </c>
      <c r="H163" s="32" t="n">
        <v>43</v>
      </c>
      <c r="I163" s="36">
        <f>EDATE('はじめに'!$C$5,H163)</f>
        <v/>
      </c>
      <c r="J163" s="32" t="inlineStr">
        <is>
          <t>推奨</t>
        </is>
      </c>
      <c r="K163" s="32" t="inlineStr">
        <is>
          <t>2人</t>
        </is>
      </c>
      <c r="L163" s="35" t="inlineStr">
        <is>
          <t>-</t>
        </is>
      </c>
      <c r="M163" s="32" t="inlineStr">
        <is>
          <t>P9-15</t>
        </is>
      </c>
      <c r="N163" s="37" t="inlineStr">
        <is>
          <t>未着手</t>
        </is>
      </c>
      <c r="O163" s="27" t="inlineStr"/>
    </row>
    <row r="164" ht="62" customHeight="1">
      <c r="A164" s="38" t="inlineStr">
        <is>
          <t>P13-02</t>
        </is>
      </c>
      <c r="B164" s="38" t="inlineStr">
        <is>
          <t>P13</t>
        </is>
      </c>
      <c r="C164" s="21" t="inlineStr">
        <is>
          <t>保活</t>
        </is>
      </c>
      <c r="D164" s="39" t="inlineStr">
        <is>
          <t>認可保育園に申し込む（4月入園の一次）</t>
        </is>
      </c>
      <c r="E164" s="23" t="inlineStr">
        <is>
          <t>希望順位をどう並べるか、何園書くか</t>
        </is>
      </c>
      <c r="F164" s="23" t="inlineStr">
        <is>
          <t>認可／認定こども園／小規模／企業主導型（自治体を通さず直接申込）／認可外（併願）</t>
        </is>
      </c>
      <c r="G164" s="23" t="inlineStr">
        <is>
          <t>**自治体により10〜12月が締切。書類不備での不承諾が実際にある**。提出前に2人でダブルチェック。**認可外の在園実績が加点になる自治体がある**</t>
        </is>
      </c>
      <c r="H164" s="38" t="n">
        <v>44</v>
      </c>
      <c r="I164" s="40">
        <f>EDATE('はじめに'!$C$5,H164)</f>
        <v/>
      </c>
      <c r="J164" s="38" t="inlineStr">
        <is>
          <t>法定</t>
        </is>
      </c>
      <c r="K164" s="38" t="inlineStr">
        <is>
          <t>2人</t>
        </is>
      </c>
      <c r="L164" s="23" t="inlineStr">
        <is>
          <t>-</t>
        </is>
      </c>
      <c r="M164" s="38" t="inlineStr">
        <is>
          <t>P13-01</t>
        </is>
      </c>
      <c r="N164" s="37" t="inlineStr">
        <is>
          <t>未着手</t>
        </is>
      </c>
      <c r="O164" s="27" t="inlineStr"/>
    </row>
    <row r="165" ht="62" customHeight="1">
      <c r="A165" s="32" t="inlineStr">
        <is>
          <t>P13-03</t>
        </is>
      </c>
      <c r="B165" s="32" t="inlineStr">
        <is>
          <t>P13</t>
        </is>
      </c>
      <c r="C165" s="33" t="inlineStr">
        <is>
          <t>保活</t>
        </is>
      </c>
      <c r="D165" s="34" t="inlineStr">
        <is>
          <t>認可外・企業主導型に併願で申し込む</t>
        </is>
      </c>
      <c r="E165" s="35" t="inlineStr">
        <is>
          <t>保険をかけるか</t>
        </is>
      </c>
      <c r="F165" s="35" t="inlineStr"/>
      <c r="G165" s="35" t="inlineStr">
        <is>
          <t>認可外は先着や独自基準。個別に直接申込</t>
        </is>
      </c>
      <c r="H165" s="32" t="n">
        <v>44</v>
      </c>
      <c r="I165" s="36">
        <f>EDATE('はじめに'!$C$5,H165)</f>
        <v/>
      </c>
      <c r="J165" s="32" t="inlineStr">
        <is>
          <t>推奨</t>
        </is>
      </c>
      <c r="K165" s="32" t="inlineStr">
        <is>
          <t>2人</t>
        </is>
      </c>
      <c r="L165" s="35" t="inlineStr">
        <is>
          <t>-</t>
        </is>
      </c>
      <c r="M165" s="32" t="inlineStr">
        <is>
          <t>P13-01</t>
        </is>
      </c>
      <c r="N165" s="37" t="inlineStr">
        <is>
          <t>未着手</t>
        </is>
      </c>
      <c r="O165" s="27" t="inlineStr"/>
    </row>
    <row r="166" ht="62" customHeight="1">
      <c r="A166" s="38" t="inlineStr">
        <is>
          <t>P13-04</t>
        </is>
      </c>
      <c r="B166" s="38" t="inlineStr">
        <is>
          <t>P13</t>
        </is>
      </c>
      <c r="C166" s="21" t="inlineStr">
        <is>
          <t>保活</t>
        </is>
      </c>
      <c r="D166" s="39" t="inlineStr">
        <is>
          <t>こども誰でも通園制度の利用を検討する</t>
        </is>
      </c>
      <c r="E166" s="23" t="inlineStr">
        <is>
          <t>使うか</t>
        </is>
      </c>
      <c r="F166" s="23" t="inlineStr">
        <is>
          <t>月一定時間まで、生後6ヶ月〜満3歳未満の未就園児が対象</t>
        </is>
      </c>
      <c r="G166" s="23" t="inlineStr">
        <is>
          <t>**2026年4月から本格実施。育休中でも使える**。自治体の受付方法を確認</t>
        </is>
      </c>
      <c r="H166" s="38" t="n">
        <v>43</v>
      </c>
      <c r="I166" s="40">
        <f>EDATE('はじめに'!$C$5,H166)</f>
        <v/>
      </c>
      <c r="J166" s="38" t="inlineStr">
        <is>
          <t>任意</t>
        </is>
      </c>
      <c r="K166" s="38" t="inlineStr">
        <is>
          <t>2人</t>
        </is>
      </c>
      <c r="L166" s="23" t="inlineStr">
        <is>
          <t>-</t>
        </is>
      </c>
      <c r="M166" s="38" t="inlineStr"/>
      <c r="N166" s="37" t="inlineStr">
        <is>
          <t>未着手</t>
        </is>
      </c>
      <c r="O166" s="27" t="inlineStr"/>
    </row>
    <row r="167" ht="62" customHeight="1">
      <c r="A167" s="32" t="inlineStr">
        <is>
          <t>P13-05</t>
        </is>
      </c>
      <c r="B167" s="32" t="inlineStr">
        <is>
          <t>P13</t>
        </is>
      </c>
      <c r="C167" s="33" t="inlineStr">
        <is>
          <t>医療</t>
        </is>
      </c>
      <c r="D167" s="34" t="inlineStr">
        <is>
          <t>9〜10ヶ月児健診</t>
        </is>
      </c>
      <c r="E167" s="35" t="inlineStr"/>
      <c r="F167" s="35" t="inlineStr"/>
      <c r="G167" s="35" t="inlineStr">
        <is>
          <t>つかまり立ち、つまむ動作、離乳食の進み</t>
        </is>
      </c>
      <c r="H167" s="32" t="n">
        <v>45</v>
      </c>
      <c r="I167" s="36">
        <f>EDATE('はじめに'!$C$5,H167)</f>
        <v/>
      </c>
      <c r="J167" s="32" t="inlineStr">
        <is>
          <t>推奨</t>
        </is>
      </c>
      <c r="K167" s="32" t="inlineStr">
        <is>
          <t>2人</t>
        </is>
      </c>
      <c r="L167" s="35" t="inlineStr">
        <is>
          <t>0〜5,000円</t>
        </is>
      </c>
      <c r="M167" s="32" t="inlineStr"/>
      <c r="N167" s="37" t="inlineStr">
        <is>
          <t>未着手</t>
        </is>
      </c>
      <c r="O167" s="27" t="inlineStr"/>
    </row>
    <row r="168" ht="62" customHeight="1">
      <c r="A168" s="38" t="inlineStr">
        <is>
          <t>P13-06</t>
        </is>
      </c>
      <c r="B168" s="38" t="inlineStr">
        <is>
          <t>P13</t>
        </is>
      </c>
      <c r="C168" s="21" t="inlineStr">
        <is>
          <t>離乳食</t>
        </is>
      </c>
      <c r="D168" s="39" t="inlineStr">
        <is>
          <t>3回食（カミカミ期）へ移行し、鉄分を意識する</t>
        </is>
      </c>
      <c r="E168" s="23" t="inlineStr"/>
      <c r="F168" s="23" t="inlineStr">
        <is>
          <t>赤身肉／レバー／鉄強化ベビーフード</t>
        </is>
      </c>
      <c r="G168" s="23" t="inlineStr">
        <is>
          <t>**母乳・ミルクだけでは鉄が足りなくなる時期**</t>
        </is>
      </c>
      <c r="H168" s="38" t="n">
        <v>45</v>
      </c>
      <c r="I168" s="40">
        <f>EDATE('はじめに'!$C$5,H168)</f>
        <v/>
      </c>
      <c r="J168" s="38" t="inlineStr">
        <is>
          <t>推奨</t>
        </is>
      </c>
      <c r="K168" s="38" t="inlineStr">
        <is>
          <t>2人</t>
        </is>
      </c>
      <c r="L168" s="23" t="inlineStr">
        <is>
          <t>-</t>
        </is>
      </c>
      <c r="M168" s="38" t="inlineStr">
        <is>
          <t>P12-11</t>
        </is>
      </c>
      <c r="N168" s="37" t="inlineStr">
        <is>
          <t>未着手</t>
        </is>
      </c>
      <c r="O168" s="27" t="inlineStr"/>
    </row>
    <row r="169" ht="62" customHeight="1">
      <c r="A169" s="32" t="inlineStr">
        <is>
          <t>P13-07</t>
        </is>
      </c>
      <c r="B169" s="32" t="inlineStr">
        <is>
          <t>P13</t>
        </is>
      </c>
      <c r="C169" s="33" t="inlineStr">
        <is>
          <t>安全</t>
        </is>
      </c>
      <c r="D169" s="34" t="inlineStr">
        <is>
          <t>ハイハイ・つかまり立ちに合わせて家中を安全化する</t>
        </is>
      </c>
      <c r="E169" s="35" t="inlineStr">
        <is>
          <t>どこまでやるか</t>
        </is>
      </c>
      <c r="F169" s="35" t="inlineStr">
        <is>
          <t>ベビーゲート（日本育児／カトージ／Lascal）／コンセントカバー／引き出しロック／家具転倒防止／テーブル角ガード</t>
        </is>
      </c>
      <c r="G169" s="35" t="inlineStr">
        <is>
          <t>**床から40cmの目線で家を1周する。トイレットペーパーの芯を通るものは全部誤飲する**。ボタン電池・磁石・タバコは最優先で撤去。浴槽の残し湯をしない</t>
        </is>
      </c>
      <c r="H169" s="32" t="n">
        <v>45</v>
      </c>
      <c r="I169" s="36">
        <f>EDATE('はじめに'!$C$5,H169)</f>
        <v/>
      </c>
      <c r="J169" s="32" t="inlineStr">
        <is>
          <t>推奨</t>
        </is>
      </c>
      <c r="K169" s="32" t="inlineStr">
        <is>
          <t>パートナー</t>
        </is>
      </c>
      <c r="L169" s="35" t="inlineStr">
        <is>
          <t>1〜3万円</t>
        </is>
      </c>
      <c r="M169" s="32" t="inlineStr"/>
      <c r="N169" s="37" t="inlineStr">
        <is>
          <t>未着手</t>
        </is>
      </c>
      <c r="O169" s="27" t="inlineStr"/>
    </row>
    <row r="170" ht="62" customHeight="1">
      <c r="A170" s="38" t="inlineStr">
        <is>
          <t>P13-08</t>
        </is>
      </c>
      <c r="B170" s="38" t="inlineStr">
        <is>
          <t>P13</t>
        </is>
      </c>
      <c r="C170" s="21" t="inlineStr">
        <is>
          <t>育児</t>
        </is>
      </c>
      <c r="D170" s="39" t="inlineStr">
        <is>
          <t>病児保育・ファミサポ・シッターに登録する</t>
        </is>
      </c>
      <c r="E170" s="23" t="inlineStr">
        <is>
          <t>復職後に誰が休むか</t>
        </is>
      </c>
      <c r="F170" s="23" t="inlineStr">
        <is>
          <t>自治体の病児保育／ファミリーサポートセンター／民間シッター（キッズライン／ポピンズ）／自治体のシッター利用助成</t>
        </is>
      </c>
      <c r="G170" s="23" t="inlineStr">
        <is>
          <t>**登録に面談が必要で当日申込は不可。復職2ヶ月前までに済ませる**。復職後は月1回は必ず発熱で呼び出される前提</t>
        </is>
      </c>
      <c r="H170" s="38" t="n">
        <v>45</v>
      </c>
      <c r="I170" s="40">
        <f>EDATE('はじめに'!$C$5,H170)</f>
        <v/>
      </c>
      <c r="J170" s="38" t="inlineStr">
        <is>
          <t>推奨</t>
        </is>
      </c>
      <c r="K170" s="38" t="inlineStr">
        <is>
          <t>2人</t>
        </is>
      </c>
      <c r="L170" s="23" t="inlineStr">
        <is>
          <t>-</t>
        </is>
      </c>
      <c r="M170" s="38" t="inlineStr"/>
      <c r="N170" s="37" t="inlineStr">
        <is>
          <t>未着手</t>
        </is>
      </c>
      <c r="O170" s="27" t="inlineStr"/>
    </row>
    <row r="171" ht="62" customHeight="1">
      <c r="A171" s="32" t="inlineStr">
        <is>
          <t>P13-09</t>
        </is>
      </c>
      <c r="B171" s="32" t="inlineStr">
        <is>
          <t>P13</t>
        </is>
      </c>
      <c r="C171" s="33" t="inlineStr">
        <is>
          <t>保活</t>
        </is>
      </c>
      <c r="D171" s="34" t="inlineStr">
        <is>
          <t>内定通知／不承諾（保留）通知を受け取る</t>
        </is>
      </c>
      <c r="E171" s="35" t="inlineStr"/>
      <c r="F171" s="35" t="inlineStr"/>
      <c r="G171" s="35" t="inlineStr">
        <is>
          <t>**不承諾通知は育休延長の必須書類。絶対に紛失しない**</t>
        </is>
      </c>
      <c r="H171" s="32" t="n">
        <v>46</v>
      </c>
      <c r="I171" s="36">
        <f>EDATE('はじめに'!$C$5,H171)</f>
        <v/>
      </c>
      <c r="J171" s="32" t="inlineStr">
        <is>
          <t>法定</t>
        </is>
      </c>
      <c r="K171" s="32" t="inlineStr">
        <is>
          <t>2人</t>
        </is>
      </c>
      <c r="L171" s="35" t="inlineStr">
        <is>
          <t>-</t>
        </is>
      </c>
      <c r="M171" s="32" t="inlineStr">
        <is>
          <t>P13-02</t>
        </is>
      </c>
      <c r="N171" s="37" t="inlineStr">
        <is>
          <t>未着手</t>
        </is>
      </c>
      <c r="O171" s="27" t="inlineStr"/>
    </row>
    <row r="172" ht="62" customHeight="1">
      <c r="A172" s="38" t="inlineStr">
        <is>
          <t>P13-10</t>
        </is>
      </c>
      <c r="B172" s="38" t="inlineStr">
        <is>
          <t>P13</t>
        </is>
      </c>
      <c r="C172" s="21" t="inlineStr">
        <is>
          <t>仕事</t>
        </is>
      </c>
      <c r="D172" s="39" t="inlineStr">
        <is>
          <t>【不承諾時】育児休業給付金の延長を申請する</t>
        </is>
      </c>
      <c r="E172" s="23" t="inlineStr"/>
      <c r="F172" s="23" t="inlineStr"/>
      <c r="G172" s="23" t="inlineStr">
        <is>
          <t>**2025年4月から要件が厳格化**。ハローワークに必要書類を早めに確認</t>
        </is>
      </c>
      <c r="H172" s="38" t="n">
        <v>46</v>
      </c>
      <c r="I172" s="40">
        <f>EDATE('はじめに'!$C$5,H172)</f>
        <v/>
      </c>
      <c r="J172" s="38" t="inlineStr">
        <is>
          <t>法定</t>
        </is>
      </c>
      <c r="K172" s="38" t="inlineStr">
        <is>
          <t>妊娠する側</t>
        </is>
      </c>
      <c r="L172" s="23" t="inlineStr">
        <is>
          <t>-</t>
        </is>
      </c>
      <c r="M172" s="38" t="inlineStr">
        <is>
          <t>P13-09</t>
        </is>
      </c>
      <c r="N172" s="37" t="inlineStr">
        <is>
          <t>未着手</t>
        </is>
      </c>
      <c r="O172" s="27" t="inlineStr"/>
    </row>
    <row r="173" ht="62" customHeight="1">
      <c r="A173" s="32" t="inlineStr">
        <is>
          <t>P13-11</t>
        </is>
      </c>
      <c r="B173" s="32" t="inlineStr">
        <is>
          <t>P13</t>
        </is>
      </c>
      <c r="C173" s="33" t="inlineStr">
        <is>
          <t>保活</t>
        </is>
      </c>
      <c r="D173" s="34" t="inlineStr">
        <is>
          <t>【内定時】入園説明会・書類提出・入園準備品の作成</t>
        </is>
      </c>
      <c r="E173" s="35" t="inlineStr"/>
      <c r="F173" s="35" t="inlineStr"/>
      <c r="G173" s="35" t="inlineStr">
        <is>
          <t>**大量の名前つけが発生する。想像の3倍時間がかかる**。お名前スタンプを買う</t>
        </is>
      </c>
      <c r="H173" s="32" t="n">
        <v>46</v>
      </c>
      <c r="I173" s="36">
        <f>EDATE('はじめに'!$C$5,H173)</f>
        <v/>
      </c>
      <c r="J173" s="32" t="inlineStr">
        <is>
          <t>推奨</t>
        </is>
      </c>
      <c r="K173" s="32" t="inlineStr">
        <is>
          <t>2人</t>
        </is>
      </c>
      <c r="L173" s="35" t="inlineStr">
        <is>
          <t>2〜5万円</t>
        </is>
      </c>
      <c r="M173" s="32" t="inlineStr">
        <is>
          <t>P13-09</t>
        </is>
      </c>
      <c r="N173" s="37" t="inlineStr">
        <is>
          <t>未着手</t>
        </is>
      </c>
      <c r="O173" s="27" t="inlineStr"/>
    </row>
    <row r="174" ht="62" customHeight="1">
      <c r="A174" s="38" t="inlineStr">
        <is>
          <t>P13-12</t>
        </is>
      </c>
      <c r="B174" s="38" t="inlineStr">
        <is>
          <t>P13</t>
        </is>
      </c>
      <c r="C174" s="21" t="inlineStr">
        <is>
          <t>医療</t>
        </is>
      </c>
      <c r="D174" s="39" t="inlineStr">
        <is>
          <t>1歳の予防接種を予約する（MR／水痘／おたふく／肺炎球菌／五種混合／ヒブ）</t>
        </is>
      </c>
      <c r="E174" s="23" t="inlineStr"/>
      <c r="F174" s="23" t="inlineStr"/>
      <c r="G174" s="23" t="inlineStr">
        <is>
          <t>**1歳の誕生日当日に打てるよう1ヶ月前に予約**。MRは1歳になったらすぐ</t>
        </is>
      </c>
      <c r="H174" s="38" t="n">
        <v>46</v>
      </c>
      <c r="I174" s="40">
        <f>EDATE('はじめに'!$C$5,H174)</f>
        <v/>
      </c>
      <c r="J174" s="38" t="inlineStr">
        <is>
          <t>法定</t>
        </is>
      </c>
      <c r="K174" s="38" t="inlineStr">
        <is>
          <t>2人</t>
        </is>
      </c>
      <c r="L174" s="23" t="inlineStr">
        <is>
          <t>0〜5,000円</t>
        </is>
      </c>
      <c r="M174" s="38" t="inlineStr">
        <is>
          <t>P12-06</t>
        </is>
      </c>
      <c r="N174" s="37" t="inlineStr">
        <is>
          <t>未着手</t>
        </is>
      </c>
      <c r="O174" s="27" t="inlineStr"/>
    </row>
    <row r="175" ht="62" customHeight="1">
      <c r="A175" s="32" t="inlineStr">
        <is>
          <t>P13-13</t>
        </is>
      </c>
      <c r="B175" s="32" t="inlineStr">
        <is>
          <t>P13</t>
        </is>
      </c>
      <c r="C175" s="33" t="inlineStr">
        <is>
          <t>関係</t>
        </is>
      </c>
      <c r="D175" s="34" t="inlineStr">
        <is>
          <t>復職後の1日のタイムテーブルを分単位で書き、分担を再設計する</t>
        </is>
      </c>
      <c r="E175" s="35" t="inlineStr">
        <is>
          <t>誰が送り、誰が迎え、発熱時は誰が早退するか</t>
        </is>
      </c>
      <c r="F175" s="35" t="inlineStr"/>
      <c r="G175" s="35" t="inlineStr">
        <is>
          <t>**復職後の破綻はここの設計不足で起きる**。「早退は交代制」「送りと迎えを分ける」を先に決める</t>
        </is>
      </c>
      <c r="H175" s="32" t="n">
        <v>47</v>
      </c>
      <c r="I175" s="36">
        <f>EDATE('はじめに'!$C$5,H175)</f>
        <v/>
      </c>
      <c r="J175" s="32" t="inlineStr">
        <is>
          <t>推奨</t>
        </is>
      </c>
      <c r="K175" s="32" t="inlineStr">
        <is>
          <t>2人</t>
        </is>
      </c>
      <c r="L175" s="35" t="inlineStr">
        <is>
          <t>-</t>
        </is>
      </c>
      <c r="M175" s="32" t="inlineStr">
        <is>
          <t>P13-08</t>
        </is>
      </c>
      <c r="N175" s="37" t="inlineStr">
        <is>
          <t>未着手</t>
        </is>
      </c>
      <c r="O175" s="27" t="inlineStr"/>
    </row>
    <row r="176" ht="62" customHeight="1">
      <c r="A176" s="38" t="inlineStr">
        <is>
          <t>P13-14</t>
        </is>
      </c>
      <c r="B176" s="38" t="inlineStr">
        <is>
          <t>P13</t>
        </is>
      </c>
      <c r="C176" s="21" t="inlineStr">
        <is>
          <t>育児</t>
        </is>
      </c>
      <c r="D176" s="39" t="inlineStr">
        <is>
          <t>慣らし保育</t>
        </is>
      </c>
      <c r="E176" s="23" t="inlineStr">
        <is>
          <t>誰が対応するか</t>
        </is>
      </c>
      <c r="F176" s="23" t="inlineStr"/>
      <c r="G176" s="23" t="inlineStr">
        <is>
          <t>**初日2時間から2週間かけて延長。最初の1ヶ月は半分休むと思っておく**。ここに父の育休を残しておくと強い</t>
        </is>
      </c>
      <c r="H176" s="38" t="n">
        <v>48</v>
      </c>
      <c r="I176" s="40">
        <f>EDATE('はじめに'!$C$5,H176)</f>
        <v/>
      </c>
      <c r="J176" s="38" t="inlineStr">
        <is>
          <t>推奨</t>
        </is>
      </c>
      <c r="K176" s="38" t="inlineStr">
        <is>
          <t>2人</t>
        </is>
      </c>
      <c r="L176" s="23" t="inlineStr">
        <is>
          <t>-</t>
        </is>
      </c>
      <c r="M176" s="38" t="inlineStr">
        <is>
          <t>P13-11</t>
        </is>
      </c>
      <c r="N176" s="37" t="inlineStr">
        <is>
          <t>未着手</t>
        </is>
      </c>
      <c r="O176" s="27" t="inlineStr"/>
    </row>
    <row r="177" ht="62" customHeight="1">
      <c r="A177" s="32" t="inlineStr">
        <is>
          <t>P13-15</t>
        </is>
      </c>
      <c r="B177" s="32" t="inlineStr">
        <is>
          <t>P13</t>
        </is>
      </c>
      <c r="C177" s="33" t="inlineStr">
        <is>
          <t>仕事</t>
        </is>
      </c>
      <c r="D177" s="34" t="inlineStr">
        <is>
          <t>復職・時短勤務の適用・養育期間標準報酬月額特例の申出</t>
        </is>
      </c>
      <c r="E177" s="35" t="inlineStr"/>
      <c r="F177" s="35" t="inlineStr"/>
      <c r="G177" s="35" t="inlineStr">
        <is>
          <t>**時短で給料が下がっても年金額を下げない制度がある。申出しないと適用されない**</t>
        </is>
      </c>
      <c r="H177" s="32" t="n">
        <v>48</v>
      </c>
      <c r="I177" s="36">
        <f>EDATE('はじめに'!$C$5,H177)</f>
        <v/>
      </c>
      <c r="J177" s="32" t="inlineStr">
        <is>
          <t>法定</t>
        </is>
      </c>
      <c r="K177" s="32" t="inlineStr">
        <is>
          <t>妊娠する側</t>
        </is>
      </c>
      <c r="L177" s="35" t="inlineStr">
        <is>
          <t>-</t>
        </is>
      </c>
      <c r="M177" s="32" t="inlineStr">
        <is>
          <t>P13-14</t>
        </is>
      </c>
      <c r="N177" s="37" t="inlineStr">
        <is>
          <t>未着手</t>
        </is>
      </c>
      <c r="O177" s="27" t="inlineStr"/>
    </row>
    <row r="178" ht="62" customHeight="1">
      <c r="A178" s="38" t="inlineStr">
        <is>
          <t>P13-16</t>
        </is>
      </c>
      <c r="B178" s="38" t="inlineStr">
        <is>
          <t>P13</t>
        </is>
      </c>
      <c r="C178" s="21" t="inlineStr">
        <is>
          <t>記録</t>
        </is>
      </c>
      <c r="D178" s="39" t="inlineStr">
        <is>
          <t>1歳の誕生日（一升餅・選び取り）／1年分の写真整理</t>
        </is>
      </c>
      <c r="E178" s="23" t="inlineStr"/>
      <c r="F178" s="23" t="inlineStr"/>
      <c r="G178" s="23" t="inlineStr"/>
      <c r="H178" s="38" t="n">
        <v>48</v>
      </c>
      <c r="I178" s="40">
        <f>EDATE('はじめに'!$C$5,H178)</f>
        <v/>
      </c>
      <c r="J178" s="38" t="inlineStr">
        <is>
          <t>任意</t>
        </is>
      </c>
      <c r="K178" s="38" t="inlineStr">
        <is>
          <t>2人</t>
        </is>
      </c>
      <c r="L178" s="23" t="inlineStr">
        <is>
          <t>1〜5万円</t>
        </is>
      </c>
      <c r="M178" s="38" t="inlineStr"/>
      <c r="N178" s="37" t="inlineStr">
        <is>
          <t>未着手</t>
        </is>
      </c>
      <c r="O178" s="27" t="inlineStr"/>
    </row>
    <row r="179" ht="62" customHeight="1">
      <c r="A179" s="32" t="inlineStr">
        <is>
          <t>P13-17</t>
        </is>
      </c>
      <c r="B179" s="32" t="inlineStr">
        <is>
          <t>P13</t>
        </is>
      </c>
      <c r="C179" s="33" t="inlineStr">
        <is>
          <t>お金</t>
        </is>
      </c>
      <c r="D179" s="34" t="inlineStr">
        <is>
          <t>教育資金の置き場所を決める</t>
        </is>
      </c>
      <c r="E179" s="35" t="inlineStr">
        <is>
          <t>どこに積むか</t>
        </is>
      </c>
      <c r="F179" s="35" t="inlineStr">
        <is>
          <t>新NISA（親名義・つみたて投資枠）／学資保険／定期預金／児童手当を全額別口座</t>
        </is>
      </c>
      <c r="G179" s="35" t="inlineStr">
        <is>
          <t>**児童手当を0〜18歳まで全額貯めると約230万円**。学資保険は元本保証だが利回りが低い。リスク許容度で決める</t>
        </is>
      </c>
      <c r="H179" s="32" t="n">
        <v>48</v>
      </c>
      <c r="I179" s="36">
        <f>EDATE('はじめに'!$C$5,H179)</f>
        <v/>
      </c>
      <c r="J179" s="32" t="inlineStr">
        <is>
          <t>推奨</t>
        </is>
      </c>
      <c r="K179" s="32" t="inlineStr">
        <is>
          <t>2人</t>
        </is>
      </c>
      <c r="L179" s="35" t="inlineStr">
        <is>
          <t>-</t>
        </is>
      </c>
      <c r="M179" s="32" t="inlineStr"/>
      <c r="N179" s="37" t="inlineStr">
        <is>
          <t>未着手</t>
        </is>
      </c>
      <c r="O179" s="27" t="inlineStr"/>
    </row>
    <row r="180" ht="62" customHeight="1">
      <c r="A180" s="38" t="inlineStr">
        <is>
          <t>P13-18</t>
        </is>
      </c>
      <c r="B180" s="38" t="inlineStr">
        <is>
          <t>P13</t>
        </is>
      </c>
      <c r="C180" s="21" t="inlineStr">
        <is>
          <t>関係</t>
        </is>
      </c>
      <c r="D180" s="39" t="inlineStr">
        <is>
          <t>1年の振り返りと、2人目をどうするかの話し合い</t>
        </is>
      </c>
      <c r="E180" s="23" t="inlineStr"/>
      <c r="F180" s="23" t="inlineStr"/>
      <c r="G180" s="23" t="inlineStr">
        <is>
          <t>うまくいった分担と、限界だった点を言語化する</t>
        </is>
      </c>
      <c r="H180" s="38" t="n">
        <v>48</v>
      </c>
      <c r="I180" s="40">
        <f>EDATE('はじめに'!$C$5,H180)</f>
        <v/>
      </c>
      <c r="J180" s="38" t="inlineStr">
        <is>
          <t>任意</t>
        </is>
      </c>
      <c r="K180" s="38" t="inlineStr">
        <is>
          <t>2人</t>
        </is>
      </c>
      <c r="L180" s="23" t="inlineStr">
        <is>
          <t>-</t>
        </is>
      </c>
      <c r="M180" s="38" t="inlineStr"/>
      <c r="N180" s="37" t="inlineStr">
        <is>
          <t>未着手</t>
        </is>
      </c>
      <c r="O180" s="27" t="inlineStr"/>
    </row>
  </sheetData>
  <autoFilter ref="A2:O180"/>
  <conditionalFormatting sqref="N3:N180">
    <cfRule type="cellIs" priority="1" operator="equal" dxfId="2">
      <formula>"完了"</formula>
    </cfRule>
    <cfRule type="cellIs" priority="2" operator="equal" dxfId="3">
      <formula>"進行中"</formula>
    </cfRule>
    <cfRule type="cellIs" priority="3" operator="equal" dxfId="4">
      <formula>"対象外"</formula>
    </cfRule>
  </conditionalFormatting>
  <conditionalFormatting sqref="J3:J180">
    <cfRule type="cellIs" priority="4" operator="equal" dxfId="5">
      <formula>"法定"</formula>
    </cfRule>
  </conditionalFormatting>
  <dataValidations count="1">
    <dataValidation sqref="N3:N180" showDropDown="0" showInputMessage="0" showErrorMessage="0" allowBlank="1" type="list">
      <formula1>"未着手,進行中,完了,対象外"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5"/>
  <sheetViews>
    <sheetView zoomScale="85"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24" customWidth="1" min="4" max="4"/>
    <col width="26" customWidth="1" min="5" max="5"/>
    <col width="6" customWidth="1" min="6" max="6"/>
    <col width="6" customWidth="1" min="7" max="7"/>
    <col width="7" customWidth="1" min="8" max="8"/>
    <col width="8" customWidth="1" min="9" max="9"/>
    <col width="58" customWidth="1" min="10" max="10"/>
    <col width="44" customWidth="1" min="11" max="11"/>
    <col width="12" customWidth="1" min="12" max="12"/>
    <col width="8" customWidth="1" min="13" max="13"/>
    <col width="9" customWidth="1" min="14" max="14"/>
  </cols>
  <sheetData>
    <row r="1" ht="24" customHeight="1">
      <c r="A1" s="16" t="inlineStr">
        <is>
          <t>③ リスク管理表｜各フェーズで配偶者との関係が悪化する想定リスクと対策</t>
        </is>
      </c>
      <c r="D1" s="2" t="inlineStr">
        <is>
          <t>確率×影響でスコアが自動計算されます</t>
        </is>
      </c>
    </row>
    <row r="2" ht="34" customHeight="1">
      <c r="A2" s="41" t="inlineStr">
        <is>
          <t>リスクID</t>
        </is>
      </c>
      <c r="B2" s="41" t="inlineStr">
        <is>
          <t>フェーズ</t>
        </is>
      </c>
      <c r="C2" s="41" t="inlineStr">
        <is>
          <t>リスク事象</t>
        </is>
      </c>
      <c r="D2" s="41" t="inlineStr">
        <is>
          <t>典型的な引き金・場面</t>
        </is>
      </c>
      <c r="E2" s="41" t="inlineStr">
        <is>
          <t>早期サイン（黄信号）</t>
        </is>
      </c>
      <c r="F2" s="41" t="inlineStr">
        <is>
          <t>確率
(1-5)</t>
        </is>
      </c>
      <c r="G2" s="41" t="inlineStr">
        <is>
          <t>影響
(1-5)</t>
        </is>
      </c>
      <c r="H2" s="41" t="inlineStr">
        <is>
          <t>スコア</t>
        </is>
      </c>
      <c r="I2" s="41" t="inlineStr">
        <is>
          <t>優先度</t>
        </is>
      </c>
      <c r="J2" s="41" t="inlineStr">
        <is>
          <t>予防策（起きる前にやること）</t>
        </is>
      </c>
      <c r="K2" s="41" t="inlineStr">
        <is>
          <t>発生時の対応</t>
        </is>
      </c>
      <c r="L2" s="41" t="inlineStr">
        <is>
          <t>オーナー</t>
        </is>
      </c>
      <c r="M2" s="41" t="inlineStr">
        <is>
          <t>見直し</t>
        </is>
      </c>
      <c r="N2" s="41" t="inlineStr">
        <is>
          <t>状態</t>
        </is>
      </c>
    </row>
    <row r="3" ht="76" customHeight="1">
      <c r="A3" s="32" t="inlineStr">
        <is>
          <t>R01</t>
        </is>
      </c>
      <c r="B3" s="32" t="inlineStr">
        <is>
          <t>P1</t>
        </is>
      </c>
      <c r="C3" s="34" t="inlineStr">
        <is>
          <t>家事分担の不公平感が言語化されないまま蓄積する</t>
        </is>
      </c>
      <c r="D3" s="35" t="inlineStr">
        <is>
          <t>片方が「気づいた方がやる」方式で回している</t>
        </is>
      </c>
      <c r="E3" s="35" t="inlineStr">
        <is>
          <t>ため息が増える／「私ばっかり」が出る／黙って先にやってしまう</t>
        </is>
      </c>
      <c r="F3" s="37" t="n">
        <v>4</v>
      </c>
      <c r="G3" s="37" t="n">
        <v>3</v>
      </c>
      <c r="H3" s="32">
        <f>F3*G3</f>
        <v/>
      </c>
      <c r="I3" s="32">
        <f>IF(H3&gt;=16,"最優先",IF(H3&gt;=12,"高",IF(H3&gt;=6,"中","低")))</f>
        <v/>
      </c>
      <c r="J3" s="35" t="inlineStr">
        <is>
          <t>家事を40〜60項目に分解した一覧を作り、名前のない家事（ゴミ袋の補充、日用品の在庫管理、献立を考える）まで担当を割り当てる。月1回、実際の所要時間で棚卸しする</t>
        </is>
      </c>
      <c r="K3" s="35" t="inlineStr">
        <is>
          <t>その場で分担表を開いて再配分する。「やってくれてありがとう」ではなく、担当そのものを移す</t>
        </is>
      </c>
      <c r="L3" s="32" t="inlineStr">
        <is>
          <t>2人</t>
        </is>
      </c>
      <c r="M3" s="32" t="inlineStr">
        <is>
          <t>月1回</t>
        </is>
      </c>
      <c r="N3" s="37" t="inlineStr">
        <is>
          <t>未着手</t>
        </is>
      </c>
    </row>
    <row r="4" ht="76" customHeight="1">
      <c r="A4" s="38" t="inlineStr">
        <is>
          <t>R02</t>
        </is>
      </c>
      <c r="B4" s="38" t="inlineStr">
        <is>
          <t>P1</t>
        </is>
      </c>
      <c r="C4" s="39" t="inlineStr">
        <is>
          <t>金銭感覚の差が不信につながる</t>
        </is>
      </c>
      <c r="D4" s="23" t="inlineStr">
        <is>
          <t>片方の趣味・交際費への支出が見えない</t>
        </is>
      </c>
      <c r="E4" s="23" t="inlineStr">
        <is>
          <t>支出の話題を避ける／隠れて買う／レシートを捨てる</t>
        </is>
      </c>
      <c r="F4" s="37" t="n">
        <v>3</v>
      </c>
      <c r="G4" s="37" t="n">
        <v>4</v>
      </c>
      <c r="H4" s="38">
        <f>F4*G4</f>
        <v/>
      </c>
      <c r="I4" s="38">
        <f>IF(H4&gt;=16,"最優先",IF(H4&gt;=12,"高",IF(H4&gt;=6,"中","低")))</f>
        <v/>
      </c>
      <c r="J4" s="23" t="inlineStr">
        <is>
          <t>共通口座＋各自の自由費（金額を明示）の二層構造にする。共通費の定義を文章で残す。家計アプリを2人で共有する</t>
        </is>
      </c>
      <c r="K4" s="23" t="inlineStr">
        <is>
          <t>責める前に構造を疑う。自由費の額が実態と合っていない可能性が高いので金額の見直しから入る</t>
        </is>
      </c>
      <c r="L4" s="38" t="inlineStr">
        <is>
          <t>2人</t>
        </is>
      </c>
      <c r="M4" s="38" t="inlineStr">
        <is>
          <t>月1回</t>
        </is>
      </c>
      <c r="N4" s="37" t="inlineStr">
        <is>
          <t>未着手</t>
        </is>
      </c>
    </row>
    <row r="5" ht="76" customHeight="1">
      <c r="A5" s="32" t="inlineStr">
        <is>
          <t>R03</t>
        </is>
      </c>
      <c r="B5" s="32" t="inlineStr">
        <is>
          <t>P1</t>
        </is>
      </c>
      <c r="C5" s="34" t="inlineStr">
        <is>
          <t>清潔基準・生活リズムの差で摩耗する</t>
        </is>
      </c>
      <c r="D5" s="35" t="inlineStr">
        <is>
          <t>在宅勤務、夜型と朝型、片付けの許容ライン</t>
        </is>
      </c>
      <c r="E5" s="35" t="inlineStr">
        <is>
          <t>無言で片付ける／相手の物を勝手に動かす</t>
        </is>
      </c>
      <c r="F5" s="37" t="n">
        <v>4</v>
      </c>
      <c r="G5" s="37" t="n">
        <v>2</v>
      </c>
      <c r="H5" s="32">
        <f>F5*G5</f>
        <v/>
      </c>
      <c r="I5" s="32">
        <f>IF(H5&gt;=16,"最優先",IF(H5&gt;=12,"高",IF(H5&gt;=6,"中","低")))</f>
        <v/>
      </c>
      <c r="J5" s="35" t="inlineStr">
        <is>
          <t>「共有スペースの基準」だけを2人で決め、個人スペースは干渉しないと合意する。基準は写真で残すと揉めない</t>
        </is>
      </c>
      <c r="K5" s="35" t="inlineStr">
        <is>
          <t>基準を再交渉する。相手を変えるのではなく、掃除の外注か物理的なゾーニングで解決する</t>
        </is>
      </c>
      <c r="L5" s="32" t="inlineStr">
        <is>
          <t>2人</t>
        </is>
      </c>
      <c r="M5" s="32" t="inlineStr">
        <is>
          <t>月1回</t>
        </is>
      </c>
      <c r="N5" s="37" t="inlineStr">
        <is>
          <t>未着手</t>
        </is>
      </c>
    </row>
    <row r="6" ht="76" customHeight="1">
      <c r="A6" s="38" t="inlineStr">
        <is>
          <t>R04</t>
        </is>
      </c>
      <c r="B6" s="38" t="inlineStr">
        <is>
          <t>P1</t>
        </is>
      </c>
      <c r="C6" s="39" t="inlineStr">
        <is>
          <t>エリア選定を今の通勤だけで決め、出産後に住み替えが必要になる</t>
        </is>
      </c>
      <c r="D6" s="23" t="inlineStr">
        <is>
          <t>駅近・職場近さだけで物件を決めた</t>
        </is>
      </c>
      <c r="E6" s="23" t="inlineStr">
        <is>
          <t>保育園の待機児童数を調べていない／2LDKに住み替える前提の話が出ていない</t>
        </is>
      </c>
      <c r="F6" s="37" t="n">
        <v>3</v>
      </c>
      <c r="G6" s="37" t="n">
        <v>4</v>
      </c>
      <c r="H6" s="38">
        <f>F6*G6</f>
        <v/>
      </c>
      <c r="I6" s="38">
        <f>IF(H6&gt;=16,"最優先",IF(H6&gt;=12,"高",IF(H6&gt;=6,"中","低")))</f>
        <v/>
      </c>
      <c r="J6" s="23" t="inlineStr">
        <is>
          <t>同棲の物件を決める前に、その自治体の待機児童数・内定最低指数・子ども医療費助成・保育料減免を1時間だけ調べる。子どもを持つ予定なら更新2年で見直す前提にしておく</t>
        </is>
      </c>
      <c r="K6" s="23" t="inlineStr">
        <is>
          <t>妊娠中期までに引っ越す（それ以降は現実的に不可能）。認可の申込前に住民票を移す</t>
        </is>
      </c>
      <c r="L6" s="38" t="inlineStr">
        <is>
          <t>2人</t>
        </is>
      </c>
      <c r="M6" s="38" t="inlineStr">
        <is>
          <t>月1回</t>
        </is>
      </c>
      <c r="N6" s="37" t="inlineStr">
        <is>
          <t>未着手</t>
        </is>
      </c>
    </row>
    <row r="7" ht="76" customHeight="1">
      <c r="A7" s="32" t="inlineStr">
        <is>
          <t>R05</t>
        </is>
      </c>
      <c r="B7" s="32" t="inlineStr">
        <is>
          <t>P2</t>
        </is>
      </c>
      <c r="C7" s="34" t="inlineStr">
        <is>
          <t>同棲が長期化し、結婚の話が進まない</t>
        </is>
      </c>
      <c r="D7" s="35" t="inlineStr">
        <is>
          <t>生活が快適で現状維持のコストが低い</t>
        </is>
      </c>
      <c r="E7" s="35" t="inlineStr">
        <is>
          <t>結婚の話題が出なくなる／片方だけが焦っている</t>
        </is>
      </c>
      <c r="F7" s="37" t="n">
        <v>3</v>
      </c>
      <c r="G7" s="37" t="n">
        <v>4</v>
      </c>
      <c r="H7" s="32">
        <f>F7*G7</f>
        <v/>
      </c>
      <c r="I7" s="32">
        <f>IF(H7&gt;=16,"最優先",IF(H7&gt;=12,"高",IF(H7&gt;=6,"中","低")))</f>
        <v/>
      </c>
      <c r="J7" s="35" t="inlineStr">
        <is>
          <t>同棲開始時に「◯年後までに結論を出す」と期限を切り、カレンダーに入れておく</t>
        </is>
      </c>
      <c r="K7" s="35" t="inlineStr">
        <is>
          <t>期限が来たら必ず話す。曖昧なまま延長しない。年齢と妊活の関係を数字で共有する</t>
        </is>
      </c>
      <c r="L7" s="32" t="inlineStr">
        <is>
          <t>2人</t>
        </is>
      </c>
      <c r="M7" s="32" t="inlineStr">
        <is>
          <t>月1回</t>
        </is>
      </c>
      <c r="N7" s="37" t="inlineStr">
        <is>
          <t>未着手</t>
        </is>
      </c>
    </row>
    <row r="8" ht="76" customHeight="1">
      <c r="A8" s="38" t="inlineStr">
        <is>
          <t>R06</t>
        </is>
      </c>
      <c r="B8" s="38" t="inlineStr">
        <is>
          <t>P3</t>
        </is>
      </c>
      <c r="C8" s="39" t="inlineStr">
        <is>
          <t>結婚式をやるか・規模をどうするかで対立する</t>
        </is>
      </c>
      <c r="D8" s="23" t="inlineStr">
        <is>
          <t>片方は親のために盛大に、片方は費用を出産に回したい</t>
        </is>
      </c>
      <c r="E8" s="23" t="inlineStr">
        <is>
          <t>話し合いが毎回同じところで止まる／「どっちでもいい」と言い出す</t>
        </is>
      </c>
      <c r="F8" s="37" t="n">
        <v>4</v>
      </c>
      <c r="G8" s="37" t="n">
        <v>3</v>
      </c>
      <c r="H8" s="38">
        <f>F8*G8</f>
        <v/>
      </c>
      <c r="I8" s="38">
        <f>IF(H8&gt;=16,"最優先",IF(H8&gt;=12,"高",IF(H8&gt;=6,"中","低")))</f>
        <v/>
      </c>
      <c r="J8" s="23" t="inlineStr">
        <is>
          <t>「何のための式か（誰に見せる式か）」を先に一致させてから形式を選ぶ。予算の上限と、削る優先順位を先に決める</t>
        </is>
      </c>
      <c r="K8" s="23" t="inlineStr">
        <is>
          <t>第三案（家族婚＋フォト、会費制）に逃がす。両家の親の希望は各自が自分の親に確認して持ち帰る</t>
        </is>
      </c>
      <c r="L8" s="38" t="inlineStr">
        <is>
          <t>2人</t>
        </is>
      </c>
      <c r="M8" s="38" t="inlineStr">
        <is>
          <t>月1回</t>
        </is>
      </c>
      <c r="N8" s="37" t="inlineStr">
        <is>
          <t>未着手</t>
        </is>
      </c>
    </row>
    <row r="9" ht="76" customHeight="1">
      <c r="A9" s="32" t="inlineStr">
        <is>
          <t>R07</t>
        </is>
      </c>
      <c r="B9" s="32" t="inlineStr">
        <is>
          <t>P3</t>
        </is>
      </c>
      <c r="C9" s="34" t="inlineStr">
        <is>
          <t>両家の価値観・慣習の差が衝突する</t>
        </is>
      </c>
      <c r="D9" s="35" t="inlineStr">
        <is>
          <t>結納の有無、援助額、宗教、地域の作法</t>
        </is>
      </c>
      <c r="E9" s="35" t="inlineStr">
        <is>
          <t>「うちの地域では」が出る／片方の親が直接口を出してくる</t>
        </is>
      </c>
      <c r="F9" s="37" t="n">
        <v>3</v>
      </c>
      <c r="G9" s="37" t="n">
        <v>4</v>
      </c>
      <c r="H9" s="32">
        <f>F9*G9</f>
        <v/>
      </c>
      <c r="I9" s="32">
        <f>IF(H9&gt;=16,"最優先",IF(H9&gt;=12,"高",IF(H9&gt;=6,"中","低")))</f>
        <v/>
      </c>
      <c r="J9" s="35" t="inlineStr">
        <is>
          <t>**各自が自分の実親に確認して持ち帰る**をルール化する。相手に相手の親を説得させない</t>
        </is>
      </c>
      <c r="K9" s="35" t="inlineStr">
        <is>
          <t>本人同士で方針を決め、それぞれが自分の親に伝える。親同士を直接交渉させない</t>
        </is>
      </c>
      <c r="L9" s="32" t="inlineStr">
        <is>
          <t>2人</t>
        </is>
      </c>
      <c r="M9" s="32" t="inlineStr">
        <is>
          <t>月1回</t>
        </is>
      </c>
      <c r="N9" s="37" t="inlineStr">
        <is>
          <t>未着手</t>
        </is>
      </c>
    </row>
    <row r="10" ht="76" customHeight="1">
      <c r="A10" s="38" t="inlineStr">
        <is>
          <t>R08</t>
        </is>
      </c>
      <c r="B10" s="38" t="inlineStr">
        <is>
          <t>P3</t>
        </is>
      </c>
      <c r="C10" s="39" t="inlineStr">
        <is>
          <t>姓の選択に片方が納得しないまま進む</t>
        </is>
      </c>
      <c r="D10" s="23" t="inlineStr">
        <is>
          <t>「当然こちらの姓」という前提で話が進む</t>
        </is>
      </c>
      <c r="E10" s="23" t="inlineStr">
        <is>
          <t>改姓側が黙る／名義変更の話題で不機嫌になる</t>
        </is>
      </c>
      <c r="F10" s="37" t="n">
        <v>3</v>
      </c>
      <c r="G10" s="37" t="n">
        <v>3</v>
      </c>
      <c r="H10" s="38">
        <f>F10*G10</f>
        <v/>
      </c>
      <c r="I10" s="38">
        <f>IF(H10&gt;=16,"最優先",IF(H10&gt;=12,"高",IF(H10&gt;=6,"中","低")))</f>
        <v/>
      </c>
      <c r="J10" s="23" t="inlineStr">
        <is>
          <t>改姓の実務負担（20〜30件）とキャリア上の影響を具体的に書き出してから決める。旧姓の通称使用が可能か勤務先に確認する</t>
        </is>
      </c>
      <c r="K10" s="23" t="inlineStr">
        <is>
          <t>名義変更の作業を2人で分担する。改姓側の負担を数字で認識し、他の家事分担で相殺する</t>
        </is>
      </c>
      <c r="L10" s="38" t="inlineStr">
        <is>
          <t>2人</t>
        </is>
      </c>
      <c r="M10" s="38" t="inlineStr">
        <is>
          <t>月1回</t>
        </is>
      </c>
      <c r="N10" s="37" t="inlineStr">
        <is>
          <t>未着手</t>
        </is>
      </c>
    </row>
    <row r="11" ht="76" customHeight="1">
      <c r="A11" s="32" t="inlineStr">
        <is>
          <t>R09</t>
        </is>
      </c>
      <c r="B11" s="32" t="inlineStr">
        <is>
          <t>P3</t>
        </is>
      </c>
      <c r="C11" s="34" t="inlineStr">
        <is>
          <t>プロポーズ・婚約指輪の期待値がずれる</t>
        </is>
      </c>
      <c r="D11" s="35" t="inlineStr">
        <is>
          <t>サプライズにしたい側と、実利を重視する側</t>
        </is>
      </c>
      <c r="E11" s="35" t="inlineStr">
        <is>
          <t>指輪の話題を避ける／SNSの投稿を見て不機嫌になる</t>
        </is>
      </c>
      <c r="F11" s="37" t="n">
        <v>3</v>
      </c>
      <c r="G11" s="37" t="n">
        <v>2</v>
      </c>
      <c r="H11" s="32">
        <f>F11*G11</f>
        <v/>
      </c>
      <c r="I11" s="32">
        <f>IF(H11&gt;=16,"最優先",IF(H11&gt;=12,"高",IF(H11&gt;=6,"中","低")))</f>
        <v/>
      </c>
      <c r="J11" s="35" t="inlineStr">
        <is>
          <t>「指輪より旅行」「形式より記録」など、何に価値を置くかを事前に軽く聞いておく</t>
        </is>
      </c>
      <c r="K11" s="35" t="inlineStr">
        <is>
          <t>後からでもリカバリーできる。記念日に別の形で埋める</t>
        </is>
      </c>
      <c r="L11" s="32" t="inlineStr">
        <is>
          <t>どちらか</t>
        </is>
      </c>
      <c r="M11" s="32" t="inlineStr">
        <is>
          <t>月1回</t>
        </is>
      </c>
      <c r="N11" s="37" t="inlineStr">
        <is>
          <t>未着手</t>
        </is>
      </c>
    </row>
    <row r="12" ht="76" customHeight="1">
      <c r="A12" s="38" t="inlineStr">
        <is>
          <t>R10</t>
        </is>
      </c>
      <c r="B12" s="38" t="inlineStr">
        <is>
          <t>P4</t>
        </is>
      </c>
      <c r="C12" s="39" t="inlineStr">
        <is>
          <t>名義変更の実務負担が改姓側に集中する</t>
        </is>
      </c>
      <c r="D12" s="23" t="inlineStr">
        <is>
          <t>20〜30件の手続きを片方が全部やる</t>
        </is>
      </c>
      <c r="E12" s="23" t="inlineStr">
        <is>
          <t>「私ばっかり手続きしてる」／手続きが止まる</t>
        </is>
      </c>
      <c r="F12" s="37" t="n">
        <v>4</v>
      </c>
      <c r="G12" s="37" t="n">
        <v>2</v>
      </c>
      <c r="H12" s="38">
        <f>F12*G12</f>
        <v/>
      </c>
      <c r="I12" s="38">
        <f>IF(H12&gt;=16,"最優先",IF(H12&gt;=12,"高",IF(H12&gt;=6,"中","低")))</f>
        <v/>
      </c>
      <c r="J12" s="23" t="inlineStr">
        <is>
          <t>変更が必要な先を一覧化し、同行が必要なもの・代理でできるものを分けて分担する。有給を2人とも1日ずつ取る</t>
        </is>
      </c>
      <c r="K12" s="23" t="inlineStr">
        <is>
          <t>残りをリスト化して非改姓側が全部引き取る</t>
        </is>
      </c>
      <c r="L12" s="38" t="inlineStr">
        <is>
          <t>2人</t>
        </is>
      </c>
      <c r="M12" s="38" t="inlineStr">
        <is>
          <t>月1回</t>
        </is>
      </c>
      <c r="N12" s="37" t="inlineStr">
        <is>
          <t>未着手</t>
        </is>
      </c>
    </row>
    <row r="13" ht="76" customHeight="1">
      <c r="A13" s="32" t="inlineStr">
        <is>
          <t>R11</t>
        </is>
      </c>
      <c r="B13" s="32" t="inlineStr">
        <is>
          <t>P5</t>
        </is>
      </c>
      <c r="C13" s="34" t="inlineStr">
        <is>
          <t>初回見積から100万円以上増えて、費用で揉める</t>
        </is>
      </c>
      <c r="D13" s="35" t="inlineStr">
        <is>
          <t>装花・写真・衣装のランクアップが積み上がる</t>
        </is>
      </c>
      <c r="E13" s="35" t="inlineStr">
        <is>
          <t>見積の改訂版を2人で見ていない／片方だけが打ち合わせに行っている</t>
        </is>
      </c>
      <c r="F13" s="37" t="n">
        <v>5</v>
      </c>
      <c r="G13" s="37" t="n">
        <v>3</v>
      </c>
      <c r="H13" s="32">
        <f>F13*G13</f>
        <v/>
      </c>
      <c r="I13" s="32">
        <f>IF(H13&gt;=16,"最優先",IF(H13&gt;=12,"高",IF(H13&gt;=6,"中","低")))</f>
        <v/>
      </c>
      <c r="J13" s="35" t="inlineStr">
        <is>
          <t>上限額と、超えたときに削る項目の優先順位を先に紙で決める。見積は改訂のたびに2人で確認する</t>
        </is>
      </c>
      <c r="K13" s="35" t="inlineStr">
        <is>
          <t>削る優先順位表に従って機械的に落とす。その場で判断しない（持ち帰る）</t>
        </is>
      </c>
      <c r="L13" s="32" t="inlineStr">
        <is>
          <t>2人</t>
        </is>
      </c>
      <c r="M13" s="32" t="inlineStr">
        <is>
          <t>月1回</t>
        </is>
      </c>
      <c r="N13" s="37" t="inlineStr">
        <is>
          <t>未着手</t>
        </is>
      </c>
    </row>
    <row r="14" ht="76" customHeight="1">
      <c r="A14" s="38" t="inlineStr">
        <is>
          <t>R12</t>
        </is>
      </c>
      <c r="B14" s="38" t="inlineStr">
        <is>
          <t>P5</t>
        </is>
      </c>
      <c r="C14" s="39" t="inlineStr">
        <is>
          <t>準備タスクが片方に偏り、もう片方が「丸投げ」と見なされる</t>
        </is>
      </c>
      <c r="D14" s="23" t="inlineStr">
        <is>
          <t>打ち合わせ・小物作り・招待客の管理が一人に集中</t>
        </is>
      </c>
      <c r="E14" s="23" t="inlineStr">
        <is>
          <t>「相談しても“いいよ”しか言わない」／準備の話をしなくなる</t>
        </is>
      </c>
      <c r="F14" s="37" t="n">
        <v>5</v>
      </c>
      <c r="G14" s="37" t="n">
        <v>4</v>
      </c>
      <c r="H14" s="38">
        <f>F14*G14</f>
        <v/>
      </c>
      <c r="I14" s="38">
        <f>IF(H14&gt;=16,"最優先",IF(H14&gt;=12,"高",IF(H14&gt;=6,"中","低")))</f>
        <v/>
      </c>
      <c r="J14" s="23" t="inlineStr">
        <is>
          <t>**準備タスクの分担表を作る**。「決めるのは2人、動くのは分担」を明文化し、丸ごと1領域（例：写真・BGM・二次会）をオーナーごと渡す</t>
        </is>
      </c>
      <c r="K14" s="23" t="inlineStr">
        <is>
          <t>残タスクを棚卸しして再配分する。「手伝う」ではなく担当を持たせる</t>
        </is>
      </c>
      <c r="L14" s="38" t="inlineStr">
        <is>
          <t>2人</t>
        </is>
      </c>
      <c r="M14" s="38" t="inlineStr">
        <is>
          <t>月1回</t>
        </is>
      </c>
      <c r="N14" s="37" t="inlineStr">
        <is>
          <t>未着手</t>
        </is>
      </c>
    </row>
    <row r="15" ht="76" customHeight="1">
      <c r="A15" s="32" t="inlineStr">
        <is>
          <t>R13</t>
        </is>
      </c>
      <c r="B15" s="32" t="inlineStr">
        <is>
          <t>P5</t>
        </is>
      </c>
      <c r="C15" s="34" t="inlineStr">
        <is>
          <t>招待客リストで両家が揉める</t>
        </is>
      </c>
      <c r="D15" s="35" t="inlineStr">
        <is>
          <t>人数バランス、職場の呼び方、親の希望</t>
        </is>
      </c>
      <c r="E15" s="35" t="inlineStr">
        <is>
          <t>リストの提出が遅れる／親から追加要望が来る</t>
        </is>
      </c>
      <c r="F15" s="37" t="n">
        <v>4</v>
      </c>
      <c r="G15" s="37" t="n">
        <v>3</v>
      </c>
      <c r="H15" s="32">
        <f>F15*G15</f>
        <v/>
      </c>
      <c r="I15" s="32">
        <f>IF(H15&gt;=16,"最優先",IF(H15&gt;=12,"高",IF(H15&gt;=6,"中","低")))</f>
        <v/>
      </c>
      <c r="J15" s="35" t="inlineStr">
        <is>
          <t>「誰を呼ぶかは各自が自分の側を決め、人数だけ揃える」方式にする。親の希望枠を最初から確保しておく</t>
        </is>
      </c>
      <c r="K15" s="35" t="inlineStr">
        <is>
          <t>人数上限の中で各自が調整する。相手の側のリストに口を出さない</t>
        </is>
      </c>
      <c r="L15" s="32" t="inlineStr">
        <is>
          <t>2人</t>
        </is>
      </c>
      <c r="M15" s="32" t="inlineStr">
        <is>
          <t>月1回</t>
        </is>
      </c>
      <c r="N15" s="37" t="inlineStr">
        <is>
          <t>未着手</t>
        </is>
      </c>
    </row>
    <row r="16" ht="76" customHeight="1">
      <c r="A16" s="38" t="inlineStr">
        <is>
          <t>R14</t>
        </is>
      </c>
      <c r="B16" s="38" t="inlineStr">
        <is>
          <t>P5</t>
        </is>
      </c>
      <c r="C16" s="39" t="inlineStr">
        <is>
          <t>マリッジブルー・直前期の疲弊で喧嘩が増える</t>
        </is>
      </c>
      <c r="D16" s="23" t="inlineStr">
        <is>
          <t>仕事と準備の並行、睡眠不足</t>
        </is>
      </c>
      <c r="E16" s="23" t="inlineStr">
        <is>
          <t>些細なことで泣く／式をやめたいと言い出す</t>
        </is>
      </c>
      <c r="F16" s="37" t="n">
        <v>3</v>
      </c>
      <c r="G16" s="37" t="n">
        <v>3</v>
      </c>
      <c r="H16" s="38">
        <f>F16*G16</f>
        <v/>
      </c>
      <c r="I16" s="38">
        <f>IF(H16&gt;=16,"最優先",IF(H16&gt;=12,"高",IF(H16&gt;=6,"中","低")))</f>
        <v/>
      </c>
      <c r="J16" s="23" t="inlineStr">
        <is>
          <t>式の1ヶ月前は準備タスクを入れない（バッファ期間にする）。有給を計画的に取る</t>
        </is>
      </c>
      <c r="K16" s="23" t="inlineStr">
        <is>
          <t>一旦準備を止めて2人で休む。決断を先送りしてよい項目を切り分ける</t>
        </is>
      </c>
      <c r="L16" s="38" t="inlineStr">
        <is>
          <t>2人</t>
        </is>
      </c>
      <c r="M16" s="38" t="inlineStr">
        <is>
          <t>月1回</t>
        </is>
      </c>
      <c r="N16" s="37" t="inlineStr">
        <is>
          <t>未着手</t>
        </is>
      </c>
    </row>
    <row r="17" ht="76" customHeight="1">
      <c r="A17" s="32" t="inlineStr">
        <is>
          <t>R15</t>
        </is>
      </c>
      <c r="B17" s="32" t="inlineStr">
        <is>
          <t>P6</t>
        </is>
      </c>
      <c r="C17" s="34" t="inlineStr">
        <is>
          <t>新婚旅行が妊活・妊娠と重なり、行けない／保険が効かない</t>
        </is>
      </c>
      <c r="D17" s="35" t="inlineStr">
        <is>
          <t>式の後に旅行、同時に妊活を開始した</t>
        </is>
      </c>
      <c r="E17" s="35" t="inlineStr">
        <is>
          <t>妊娠判明後に渡航先の感染症リスクを調べていない</t>
        </is>
      </c>
      <c r="F17" s="37" t="n">
        <v>3</v>
      </c>
      <c r="G17" s="37" t="n">
        <v>3</v>
      </c>
      <c r="H17" s="32">
        <f>F17*G17</f>
        <v/>
      </c>
      <c r="I17" s="32">
        <f>IF(H17&gt;=16,"最優先",IF(H17&gt;=12,"高",IF(H17&gt;=6,"中","低")))</f>
        <v/>
      </c>
      <c r="J17" s="35" t="inlineStr">
        <is>
          <t>旅行と妊活のどちらを先にするか明示的に決める。ジカ熱流行地域は避ける。航空会社の妊婦搭乗制限と海外旅行保険の妊娠関連免責を予約前に確認する</t>
        </is>
      </c>
      <c r="K17" s="35" t="inlineStr">
        <is>
          <t>国内・近距離に切り替える。キャンセル規定を早期に確認する</t>
        </is>
      </c>
      <c r="L17" s="32" t="inlineStr">
        <is>
          <t>2人</t>
        </is>
      </c>
      <c r="M17" s="32" t="inlineStr">
        <is>
          <t>月1回</t>
        </is>
      </c>
      <c r="N17" s="37" t="inlineStr">
        <is>
          <t>未着手</t>
        </is>
      </c>
    </row>
    <row r="18" ht="76" customHeight="1">
      <c r="A18" s="38" t="inlineStr">
        <is>
          <t>R16</t>
        </is>
      </c>
      <c r="B18" s="38" t="inlineStr">
        <is>
          <t>P7</t>
        </is>
      </c>
      <c r="C18" s="39" t="inlineStr">
        <is>
          <t>男性側が検査を受けず、当事者意識に差が出る</t>
        </is>
      </c>
      <c r="D18" s="23" t="inlineStr">
        <is>
          <t>「まだ大丈夫」「自分は関係ない」</t>
        </is>
      </c>
      <c r="E18" s="23" t="inlineStr">
        <is>
          <t>検査の話を先延ばしにする／病院の予約を取らない</t>
        </is>
      </c>
      <c r="F18" s="37" t="n">
        <v>4</v>
      </c>
      <c r="G18" s="37" t="n">
        <v>5</v>
      </c>
      <c r="H18" s="38">
        <f>F18*G18</f>
        <v/>
      </c>
      <c r="I18" s="38">
        <f>IF(H18&gt;=16,"最優先",IF(H18&gt;=12,"高",IF(H18&gt;=6,"中","低")))</f>
        <v/>
      </c>
      <c r="J18" s="23" t="inlineStr">
        <is>
          <t>**妊活を始める前に、精液検査を先に済ませる**（5,000円・1回）。不妊原因の約半分が男性側であることを2人で共有しておく</t>
        </is>
      </c>
      <c r="K18" s="23" t="inlineStr">
        <is>
          <t>期限を切って予約まで一緒にやる。それでも進まないなら自宅検査キットで入口を下げる</t>
        </is>
      </c>
      <c r="L18" s="38" t="inlineStr">
        <is>
          <t>2人</t>
        </is>
      </c>
      <c r="M18" s="38" t="inlineStr">
        <is>
          <t>月1回</t>
        </is>
      </c>
      <c r="N18" s="37" t="inlineStr">
        <is>
          <t>未着手</t>
        </is>
      </c>
    </row>
    <row r="19" ht="76" customHeight="1">
      <c r="A19" s="32" t="inlineStr">
        <is>
          <t>R17</t>
        </is>
      </c>
      <c r="B19" s="32" t="inlineStr">
        <is>
          <t>P7</t>
        </is>
      </c>
      <c r="C19" s="34" t="inlineStr">
        <is>
          <t>「できなかったとき」の話をしないまま妊活に入る</t>
        </is>
      </c>
      <c r="D19" s="35" t="inlineStr">
        <is>
          <t>うまくいく前提で話が進んでいる</t>
        </is>
      </c>
      <c r="E19" s="35" t="inlineStr">
        <is>
          <t>治療の話題になると片方が黙る</t>
        </is>
      </c>
      <c r="F19" s="37" t="n">
        <v>4</v>
      </c>
      <c r="G19" s="37" t="n">
        <v>4</v>
      </c>
      <c r="H19" s="32">
        <f>F19*G19</f>
        <v/>
      </c>
      <c r="I19" s="32">
        <f>IF(H19&gt;=16,"最優先",IF(H19&gt;=12,"高",IF(H19&gt;=6,"中","低")))</f>
        <v/>
      </c>
      <c r="J19" s="35" t="inlineStr">
        <is>
          <t>妊活開始前に「何ヶ月で受診」「治療はどこまで」「できなかった場合どうするか」を数字と言葉で合意して書き残す</t>
        </is>
      </c>
      <c r="K19" s="35" t="inlineStr">
        <is>
          <t>感情が落ち着いているタイミングで再度話す。第三者（不妊専門相談センター）を挟む</t>
        </is>
      </c>
      <c r="L19" s="32" t="inlineStr">
        <is>
          <t>2人</t>
        </is>
      </c>
      <c r="M19" s="32" t="inlineStr">
        <is>
          <t>月1回</t>
        </is>
      </c>
      <c r="N19" s="37" t="inlineStr">
        <is>
          <t>未着手</t>
        </is>
      </c>
    </row>
    <row r="20" ht="76" customHeight="1">
      <c r="A20" s="38" t="inlineStr">
        <is>
          <t>R18</t>
        </is>
      </c>
      <c r="B20" s="38" t="inlineStr">
        <is>
          <t>P8</t>
        </is>
      </c>
      <c r="C20" s="39" t="inlineStr">
        <is>
          <t>性交渉が義務化し、関係が悪化する</t>
        </is>
      </c>
      <c r="D20" s="23" t="inlineStr">
        <is>
          <t>排卵日に合わせた「今日やらないと」</t>
        </is>
      </c>
      <c r="E20" s="23" t="inlineStr">
        <is>
          <t>誘い方が事務的になる／片方が避けるようになる</t>
        </is>
      </c>
      <c r="F20" s="37" t="n">
        <v>4</v>
      </c>
      <c r="G20" s="37" t="n">
        <v>4</v>
      </c>
      <c r="H20" s="38">
        <f>F20*G20</f>
        <v/>
      </c>
      <c r="I20" s="38">
        <f>IF(H20&gt;=16,"最優先",IF(H20&gt;=12,"高",IF(H20&gt;=6,"中","低")))</f>
        <v/>
      </c>
      <c r="J20" s="23" t="inlineStr">
        <is>
          <t>タイミングを取る期間と取らない期間を明確に分ける。排卵日の共有方法（言い方）を2人で決める。早めにクリニックに移すと精神的負担が下がる</t>
        </is>
      </c>
      <c r="K20" s="23" t="inlineStr">
        <is>
          <t>1〜2周期休む。人工授精に切り替えてタイミングの圧力を外す</t>
        </is>
      </c>
      <c r="L20" s="38" t="inlineStr">
        <is>
          <t>2人</t>
        </is>
      </c>
      <c r="M20" s="38" t="inlineStr">
        <is>
          <t>月1回</t>
        </is>
      </c>
      <c r="N20" s="37" t="inlineStr">
        <is>
          <t>未着手</t>
        </is>
      </c>
    </row>
    <row r="21" ht="76" customHeight="1">
      <c r="A21" s="32" t="inlineStr">
        <is>
          <t>R19</t>
        </is>
      </c>
      <c r="B21" s="32" t="inlineStr">
        <is>
          <t>P8</t>
        </is>
      </c>
      <c r="C21" s="34" t="inlineStr">
        <is>
          <t>不妊の原因を一方に帰属させ、罪悪感と非難が生まれる</t>
        </is>
      </c>
      <c r="D21" s="35" t="inlineStr">
        <is>
          <t>検査で片方に所見が出た</t>
        </is>
      </c>
      <c r="E21" s="35" t="inlineStr">
        <is>
          <t>「自分のせいで」が出る／親族の前で萎縮する</t>
        </is>
      </c>
      <c r="F21" s="37" t="n">
        <v>3</v>
      </c>
      <c r="G21" s="37" t="n">
        <v>5</v>
      </c>
      <c r="H21" s="32">
        <f>F21*G21</f>
        <v/>
      </c>
      <c r="I21" s="32">
        <f>IF(H21&gt;=16,"最優先",IF(H21&gt;=12,"高",IF(H21&gt;=6,"中","低")))</f>
        <v/>
      </c>
      <c r="J21" s="35" t="inlineStr">
        <is>
          <t>検査は必ず2人同時に受ける。原因の所在にかかわらず「2人の課題」と最初に言語化しておく</t>
        </is>
      </c>
      <c r="K21" s="35" t="inlineStr">
        <is>
          <t>カウンセリングを利用する。原因を持つ側を責める発言は関係を長期的に壊すので、ルールとして禁止する</t>
        </is>
      </c>
      <c r="L21" s="32" t="inlineStr">
        <is>
          <t>2人</t>
        </is>
      </c>
      <c r="M21" s="32" t="inlineStr">
        <is>
          <t>月1回</t>
        </is>
      </c>
      <c r="N21" s="37" t="inlineStr">
        <is>
          <t>未着手</t>
        </is>
      </c>
    </row>
    <row r="22" ht="76" customHeight="1">
      <c r="A22" s="38" t="inlineStr">
        <is>
          <t>R20</t>
        </is>
      </c>
      <c r="B22" s="38" t="inlineStr">
        <is>
          <t>P8</t>
        </is>
      </c>
      <c r="C22" s="39" t="inlineStr">
        <is>
          <t>通院・仕事調整の負担が女性側に集中する</t>
        </is>
      </c>
      <c r="D22" s="23" t="inlineStr">
        <is>
          <t>生理周期に合わせた平日朝の頻回通院</t>
        </is>
      </c>
      <c r="E22" s="23" t="inlineStr">
        <is>
          <t>有給が尽きる／評価や異動に影響が出始める</t>
        </is>
      </c>
      <c r="F22" s="37" t="n">
        <v>5</v>
      </c>
      <c r="G22" s="37" t="n">
        <v>4</v>
      </c>
      <c r="H22" s="38">
        <f>F22*G22</f>
        <v/>
      </c>
      <c r="I22" s="38">
        <f>IF(H22&gt;=16,"最優先",IF(H22&gt;=12,"高",IF(H22&gt;=6,"中","低")))</f>
        <v/>
      </c>
      <c r="J22" s="23" t="inlineStr">
        <is>
          <t>男性側も説明・採精で通う日を作る。勤務先の不妊治療休暇の有無を確認する。通院日をカレンダーで共有し、家事は自動的に相手へ振り替える</t>
        </is>
      </c>
      <c r="K22" s="23" t="inlineStr">
        <is>
          <t>治療のペースを落とす選択も机に乗せる。転職・部署異動も選択肢として検討する</t>
        </is>
      </c>
      <c r="L22" s="38" t="inlineStr">
        <is>
          <t>2人</t>
        </is>
      </c>
      <c r="M22" s="38" t="inlineStr">
        <is>
          <t>月1回</t>
        </is>
      </c>
      <c r="N22" s="37" t="inlineStr">
        <is>
          <t>未着手</t>
        </is>
      </c>
    </row>
    <row r="23" ht="76" customHeight="1">
      <c r="A23" s="32" t="inlineStr">
        <is>
          <t>R21</t>
        </is>
      </c>
      <c r="B23" s="32" t="inlineStr">
        <is>
          <t>P8</t>
        </is>
      </c>
      <c r="C23" s="34" t="inlineStr">
        <is>
          <t>治療費の上限・やめどきで対立する</t>
        </is>
      </c>
      <c r="D23" s="35" t="inlineStr">
        <is>
          <t>回数を重ね、費用が数百万円規模になる</t>
        </is>
      </c>
      <c r="E23" s="35" t="inlineStr">
        <is>
          <t>費用の話をすると喧嘩になる／片方だけが続けたがる</t>
        </is>
      </c>
      <c r="F23" s="37" t="n">
        <v>4</v>
      </c>
      <c r="G23" s="37" t="n">
        <v>5</v>
      </c>
      <c r="H23" s="32">
        <f>F23*G23</f>
        <v/>
      </c>
      <c r="I23" s="32">
        <f>IF(H23&gt;=16,"最優先",IF(H23&gt;=12,"高",IF(H23&gt;=6,"中","低")))</f>
        <v/>
      </c>
      <c r="J23" s="35" t="inlineStr">
        <is>
          <t>**冷静なうちに「金額・回数・年齢」のいずれかで上限を決めて書き残す**。保険適用の回数上限（40歳未満6回等）を基準にすると議論しやすい</t>
        </is>
      </c>
      <c r="K23" s="35" t="inlineStr">
        <is>
          <t>決めた上限に戻る。上限を変えるなら、変える理由を2人で改めて合意して更新する</t>
        </is>
      </c>
      <c r="L23" s="32" t="inlineStr">
        <is>
          <t>2人</t>
        </is>
      </c>
      <c r="M23" s="32" t="inlineStr">
        <is>
          <t>月1回</t>
        </is>
      </c>
      <c r="N23" s="37" t="inlineStr">
        <is>
          <t>未着手</t>
        </is>
      </c>
    </row>
    <row r="24" ht="76" customHeight="1">
      <c r="A24" s="38" t="inlineStr">
        <is>
          <t>R22</t>
        </is>
      </c>
      <c r="B24" s="38" t="inlineStr">
        <is>
          <t>P8</t>
        </is>
      </c>
      <c r="C24" s="39" t="inlineStr">
        <is>
          <t>周囲の妊娠報告・親からのプレッシャーで消耗する</t>
        </is>
      </c>
      <c r="D24" s="23" t="inlineStr">
        <is>
          <t>友人の出産報告、年末年始の帰省</t>
        </is>
      </c>
      <c r="E24" s="23" t="inlineStr">
        <is>
          <t>SNSを見なくなる／帰省を避けたがる</t>
        </is>
      </c>
      <c r="F24" s="37" t="n">
        <v>4</v>
      </c>
      <c r="G24" s="37" t="n">
        <v>3</v>
      </c>
      <c r="H24" s="38">
        <f>F24*G24</f>
        <v/>
      </c>
      <c r="I24" s="38">
        <f>IF(H24&gt;=16,"最優先",IF(H24&gt;=12,"高",IF(H24&gt;=6,"中","低")))</f>
        <v/>
      </c>
      <c r="J24" s="23" t="inlineStr">
        <is>
          <t>**親への説明は各自が自分の実親に行う**と決めておく。「聞かないでほしい」を2人の言葉として伝える。帰省の滞在時間を短くする</t>
        </is>
      </c>
      <c r="K24" s="23" t="inlineStr">
        <is>
          <t>無理に参加しない。行事の欠席を2人で決める</t>
        </is>
      </c>
      <c r="L24" s="38" t="inlineStr">
        <is>
          <t>2人</t>
        </is>
      </c>
      <c r="M24" s="38" t="inlineStr">
        <is>
          <t>月1回</t>
        </is>
      </c>
      <c r="N24" s="37" t="inlineStr">
        <is>
          <t>未着手</t>
        </is>
      </c>
    </row>
    <row r="25" ht="76" customHeight="1">
      <c r="A25" s="32" t="inlineStr">
        <is>
          <t>R23</t>
        </is>
      </c>
      <c r="B25" s="32" t="inlineStr">
        <is>
          <t>P9</t>
        </is>
      </c>
      <c r="C25" s="34" t="inlineStr">
        <is>
          <t>つわりへの無理解（「みんな通る道」）</t>
        </is>
      </c>
      <c r="D25" s="35" t="inlineStr">
        <is>
          <t>見た目に異常がないため軽く扱われる</t>
        </is>
      </c>
      <c r="E25" s="35" t="inlineStr">
        <is>
          <t>食べ物の話題を避ける／頼まなくなる／黙って耐える</t>
        </is>
      </c>
      <c r="F25" s="37" t="n">
        <v>4</v>
      </c>
      <c r="G25" s="37" t="n">
        <v>4</v>
      </c>
      <c r="H25" s="32">
        <f>F25*G25</f>
        <v/>
      </c>
      <c r="I25" s="32">
        <f>IF(H25&gt;=16,"最優先",IF(H25&gt;=12,"高",IF(H25&gt;=6,"中","低")))</f>
        <v/>
      </c>
      <c r="J25" s="35" t="inlineStr">
        <is>
          <t>つわりの症状と期間を事前に2人で学ぶ。**この時期は家事を「手伝う」ではなく「引き取る」**と最初に決める。宅配・家事代行を先に契約しておく</t>
        </is>
      </c>
      <c r="K25" s="35" t="inlineStr">
        <is>
          <t>水も飲めない・体重5%減は妊娠悪阻なので受診。母性健康管理指導事項連絡カードで勤務調整する</t>
        </is>
      </c>
      <c r="L25" s="32" t="inlineStr">
        <is>
          <t>パートナー</t>
        </is>
      </c>
      <c r="M25" s="32" t="inlineStr">
        <is>
          <t>月1回</t>
        </is>
      </c>
      <c r="N25" s="37" t="inlineStr">
        <is>
          <t>未着手</t>
        </is>
      </c>
    </row>
    <row r="26" ht="76" customHeight="1">
      <c r="A26" s="38" t="inlineStr">
        <is>
          <t>R24</t>
        </is>
      </c>
      <c r="B26" s="38" t="inlineStr">
        <is>
          <t>P9</t>
        </is>
      </c>
      <c r="C26" s="39" t="inlineStr">
        <is>
          <t>出生前検査の是非で価値観が衝突する</t>
        </is>
      </c>
      <c r="D26" s="23" t="inlineStr">
        <is>
          <t>受けるか、受けたうえで結果をどうするか</t>
        </is>
      </c>
      <c r="E26" s="23" t="inlineStr">
        <is>
          <t>話し合いが結論に至らないまま週数が進む</t>
        </is>
      </c>
      <c r="F26" s="37" t="n">
        <v>3</v>
      </c>
      <c r="G26" s="37" t="n">
        <v>5</v>
      </c>
      <c r="H26" s="38">
        <f>F26*G26</f>
        <v/>
      </c>
      <c r="I26" s="38">
        <f>IF(H26&gt;=16,"最優先",IF(H26&gt;=12,"高",IF(H26&gt;=6,"中","低")))</f>
        <v/>
      </c>
      <c r="J26" s="23" t="inlineStr">
        <is>
          <t>**「陽性だったらどうするか」を検査を受ける前に合意する**。10週より前に話し始める（NIPTは10週から）</t>
        </is>
      </c>
      <c r="K26" s="23" t="inlineStr">
        <is>
          <t>遺伝カウンセリングを2人で受ける。結論が出ないなら「受けない」も明確な選択として合意する</t>
        </is>
      </c>
      <c r="L26" s="38" t="inlineStr">
        <is>
          <t>2人</t>
        </is>
      </c>
      <c r="M26" s="38" t="inlineStr">
        <is>
          <t>月1回</t>
        </is>
      </c>
      <c r="N26" s="37" t="inlineStr">
        <is>
          <t>未着手</t>
        </is>
      </c>
    </row>
    <row r="27" ht="76" customHeight="1">
      <c r="A27" s="32" t="inlineStr">
        <is>
          <t>R25</t>
        </is>
      </c>
      <c r="B27" s="32" t="inlineStr">
        <is>
          <t>P9</t>
        </is>
      </c>
      <c r="C27" s="34" t="inlineStr">
        <is>
          <t>パートナーの生活が妊娠前と変わらない</t>
        </is>
      </c>
      <c r="D27" s="35" t="inlineStr">
        <is>
          <t>飲み会・趣味・休日の過ごし方がそのまま</t>
        </is>
      </c>
      <c r="E27" s="35" t="inlineStr">
        <is>
          <t>「なんで自分だけ」が出る／体調の相談をしなくなる</t>
        </is>
      </c>
      <c r="F27" s="37" t="n">
        <v>4</v>
      </c>
      <c r="G27" s="37" t="n">
        <v>4</v>
      </c>
      <c r="H27" s="32">
        <f>F27*G27</f>
        <v/>
      </c>
      <c r="I27" s="32">
        <f>IF(H27&gt;=16,"最優先",IF(H27&gt;=12,"高",IF(H27&gt;=6,"中","低")))</f>
        <v/>
      </c>
      <c r="J27" s="35" t="inlineStr">
        <is>
          <t>妊娠期に何を減らすかを事前に具体的に決める（飲み会は月◯回まで等）。妊婦健診に同行する日をカレンダーに入れる</t>
        </is>
      </c>
      <c r="K27" s="35" t="inlineStr">
        <is>
          <t>減らす量を数字で再交渉する。責める形ではなく「何を代わりにやるか」に変換する</t>
        </is>
      </c>
      <c r="L27" s="32" t="inlineStr">
        <is>
          <t>パートナー</t>
        </is>
      </c>
      <c r="M27" s="32" t="inlineStr">
        <is>
          <t>月1回</t>
        </is>
      </c>
      <c r="N27" s="37" t="inlineStr">
        <is>
          <t>未着手</t>
        </is>
      </c>
    </row>
    <row r="28" ht="76" customHeight="1">
      <c r="A28" s="38" t="inlineStr">
        <is>
          <t>R26</t>
        </is>
      </c>
      <c r="B28" s="38" t="inlineStr">
        <is>
          <t>P9</t>
        </is>
      </c>
      <c r="C28" s="39" t="inlineStr">
        <is>
          <t>里帰りの是非で対立する</t>
        </is>
      </c>
      <c r="D28" s="23" t="inlineStr">
        <is>
          <t>実家に帰りたい側と、そばにいてほしい側</t>
        </is>
      </c>
      <c r="E28" s="23" t="inlineStr">
        <is>
          <t>決まらないまま30週を過ぎる</t>
        </is>
      </c>
      <c r="F28" s="37" t="n">
        <v>3</v>
      </c>
      <c r="G28" s="37" t="n">
        <v>3</v>
      </c>
      <c r="H28" s="38">
        <f>F28*G28</f>
        <v/>
      </c>
      <c r="I28" s="38">
        <f>IF(H28&gt;=16,"最優先",IF(H28&gt;=12,"高",IF(H28&gt;=6,"中","低")))</f>
        <v/>
      </c>
      <c r="J28" s="23" t="inlineStr">
        <is>
          <t>里帰りのメリット（母体の休息）とデメリット（父の育児参加が遅れる）を両方書き出して比較する。里帰りしない場合の代替（産後ケア、家事代行、実母に来てもらう）を並べて検討する</t>
        </is>
      </c>
      <c r="K28" s="23" t="inlineStr">
        <is>
          <t>折衷案（産後2週間だけ実母に来てもらう等）を採る。20週までに決めないと里帰り先の分娩予約が取れない</t>
        </is>
      </c>
      <c r="L28" s="38" t="inlineStr">
        <is>
          <t>2人</t>
        </is>
      </c>
      <c r="M28" s="38" t="inlineStr">
        <is>
          <t>月1回</t>
        </is>
      </c>
      <c r="N28" s="37" t="inlineStr">
        <is>
          <t>未着手</t>
        </is>
      </c>
    </row>
    <row r="29" ht="76" customHeight="1">
      <c r="A29" s="32" t="inlineStr">
        <is>
          <t>R27</t>
        </is>
      </c>
      <c r="B29" s="32" t="inlineStr">
        <is>
          <t>P10</t>
        </is>
      </c>
      <c r="C29" s="34" t="inlineStr">
        <is>
          <t>産後の生活設計をせずに出産日を迎える</t>
        </is>
      </c>
      <c r="D29" s="35" t="inlineStr">
        <is>
          <t>モノは買ったが、誰が何をやるかを決めていない</t>
        </is>
      </c>
      <c r="E29" s="35" t="inlineStr">
        <is>
          <t>父の育休の話が具体化していない／外注先を調べていない</t>
        </is>
      </c>
      <c r="F29" s="37" t="n">
        <v>4</v>
      </c>
      <c r="G29" s="37" t="n">
        <v>5</v>
      </c>
      <c r="H29" s="32">
        <f>F29*G29</f>
        <v/>
      </c>
      <c r="I29" s="32">
        <f>IF(H29&gt;=16,"最優先",IF(H29&gt;=12,"高",IF(H29&gt;=6,"中","低")))</f>
        <v/>
      </c>
      <c r="J29" s="35" t="inlineStr">
        <is>
          <t>**父の育休の取り方（時期と分割）、夜間対応の分担、外注の契約、義実家の来訪ルールを妊娠後期に全部決めて紙にする**</t>
        </is>
      </c>
      <c r="K29" s="35" t="inlineStr">
        <is>
          <t>産後1週目に緊急で決める。この段階では判断力が落ちているので、外注に金を払う方向に倒す</t>
        </is>
      </c>
      <c r="L29" s="32" t="inlineStr">
        <is>
          <t>2人</t>
        </is>
      </c>
      <c r="M29" s="32" t="inlineStr">
        <is>
          <t>月1回</t>
        </is>
      </c>
      <c r="N29" s="37" t="inlineStr">
        <is>
          <t>未着手</t>
        </is>
      </c>
    </row>
    <row r="30" ht="76" customHeight="1">
      <c r="A30" s="38" t="inlineStr">
        <is>
          <t>R28</t>
        </is>
      </c>
      <c r="B30" s="38" t="inlineStr">
        <is>
          <t>P11</t>
        </is>
      </c>
      <c r="C30" s="39" t="inlineStr">
        <is>
          <t>産後の身体的ダメージが理解されず、母が休めない</t>
        </is>
      </c>
      <c r="D30" s="23" t="inlineStr">
        <is>
          <t>「動けているから大丈夫」に見える</t>
        </is>
      </c>
      <c r="E30" s="23" t="inlineStr">
        <is>
          <t>退院直後から家事をしている／来客対応をしている</t>
        </is>
      </c>
      <c r="F30" s="37" t="n">
        <v>5</v>
      </c>
      <c r="G30" s="37" t="n">
        <v>5</v>
      </c>
      <c r="H30" s="38">
        <f>F30*G30</f>
        <v/>
      </c>
      <c r="I30" s="38">
        <f>IF(H30&gt;=16,"最優先",IF(H30&gt;=12,"高",IF(H30&gt;=6,"中","低")))</f>
        <v/>
      </c>
      <c r="J30" s="23" t="inlineStr">
        <is>
          <t>**産後の体は全治1〜2ヶ月の重傷であることを事前に共有する。産後3週間は横になっているのが仕事と決めておく**。家事・来客対応・手続きは全部パートナー側</t>
        </is>
      </c>
      <c r="K30" s="23" t="inlineStr">
        <is>
          <t>パートナーが家事と来客を強制的に止める。産後ケア事業・家事代行を即日投入する</t>
        </is>
      </c>
      <c r="L30" s="38" t="inlineStr">
        <is>
          <t>パートナー</t>
        </is>
      </c>
      <c r="M30" s="38" t="inlineStr">
        <is>
          <t>月1回</t>
        </is>
      </c>
      <c r="N30" s="37" t="inlineStr">
        <is>
          <t>未着手</t>
        </is>
      </c>
    </row>
    <row r="31" ht="76" customHeight="1">
      <c r="A31" s="32" t="inlineStr">
        <is>
          <t>R29</t>
        </is>
      </c>
      <c r="B31" s="32" t="inlineStr">
        <is>
          <t>P11</t>
        </is>
      </c>
      <c r="C31" s="34" t="inlineStr">
        <is>
          <t>義実家の来訪で母が休めない／気を使い続ける</t>
        </is>
      </c>
      <c r="D31" s="35" t="inlineStr">
        <is>
          <t>退院直後の訪問、長時間の滞在、泊まり込み</t>
        </is>
      </c>
      <c r="E31" s="35" t="inlineStr">
        <is>
          <t>来訪の予定が本人の同意なく決まっている</t>
        </is>
      </c>
      <c r="F31" s="37" t="n">
        <v>4</v>
      </c>
      <c r="G31" s="37" t="n">
        <v>4</v>
      </c>
      <c r="H31" s="32">
        <f>F31*G31</f>
        <v/>
      </c>
      <c r="I31" s="32">
        <f>IF(H31&gt;=16,"最優先",IF(H31&gt;=12,"高",IF(H31&gt;=6,"中","低")))</f>
        <v/>
      </c>
      <c r="J31" s="35" t="inlineStr">
        <is>
          <t>**来訪ルール（時期・滞在時間・宿泊の可否）を妊娠中に決め、各自が自分の実親に伝える**</t>
        </is>
      </c>
      <c r="K31" s="35" t="inlineStr">
        <is>
          <t>パートナーが自分の親に短縮・延期を伝える。母に断らせない</t>
        </is>
      </c>
      <c r="L31" s="32" t="inlineStr">
        <is>
          <t>2人</t>
        </is>
      </c>
      <c r="M31" s="32" t="inlineStr">
        <is>
          <t>月1回</t>
        </is>
      </c>
      <c r="N31" s="37" t="inlineStr">
        <is>
          <t>未着手</t>
        </is>
      </c>
    </row>
    <row r="32" ht="76" customHeight="1">
      <c r="A32" s="38" t="inlineStr">
        <is>
          <t>R30</t>
        </is>
      </c>
      <c r="B32" s="38" t="inlineStr">
        <is>
          <t>P11</t>
        </is>
      </c>
      <c r="C32" s="39" t="inlineStr">
        <is>
          <t>睡眠不足による攻撃性で、些細なことが激しい喧嘩になる</t>
        </is>
      </c>
      <c r="D32" s="23" t="inlineStr">
        <is>
          <t>3時間ごとの授乳、連続睡眠が取れない</t>
        </is>
      </c>
      <c r="E32" s="23" t="inlineStr">
        <is>
          <t>言い方がきつくなる／泣く／無視する</t>
        </is>
      </c>
      <c r="F32" s="37" t="n">
        <v>5</v>
      </c>
      <c r="G32" s="37" t="n">
        <v>4</v>
      </c>
      <c r="H32" s="38">
        <f>F32*G32</f>
        <v/>
      </c>
      <c r="I32" s="38">
        <f>IF(H32&gt;=16,"最優先",IF(H32&gt;=12,"高",IF(H32&gt;=6,"中","低")))</f>
        <v/>
      </c>
      <c r="J32" s="23" t="inlineStr">
        <is>
          <t>**夜間を時間で機械的に分割する**（例：21-2時は父、2-7時は母）。「気づいた方が起きる」は必ず片方に偏るので採用しない。日中にどちらかがまとまって寝る時間を確保する</t>
        </is>
      </c>
      <c r="K32" s="23" t="inlineStr">
        <is>
          <t>睡眠不足下の会話は結論を出さない。48時間後に持ち越して話す、をルールにする</t>
        </is>
      </c>
      <c r="L32" s="38" t="inlineStr">
        <is>
          <t>2人</t>
        </is>
      </c>
      <c r="M32" s="38" t="inlineStr">
        <is>
          <t>月1回</t>
        </is>
      </c>
      <c r="N32" s="37" t="inlineStr">
        <is>
          <t>未着手</t>
        </is>
      </c>
    </row>
    <row r="33" ht="76" customHeight="1">
      <c r="A33" s="32" t="inlineStr">
        <is>
          <t>R31</t>
        </is>
      </c>
      <c r="B33" s="32" t="inlineStr">
        <is>
          <t>P11</t>
        </is>
      </c>
      <c r="C33" s="34" t="inlineStr">
        <is>
          <t>産後うつ・ガルガル期を見落とす</t>
        </is>
      </c>
      <c r="D33" s="35" t="inlineStr">
        <is>
          <t>ホルモン変動、孤立、睡眠不足</t>
        </is>
      </c>
      <c r="E33" s="35" t="inlineStr">
        <is>
          <t>眠れない／涙が止まらない／赤ちゃんが可愛く思えない／自分を責め続ける／2週間以上続く</t>
        </is>
      </c>
      <c r="F33" s="37" t="n">
        <v>3</v>
      </c>
      <c r="G33" s="37" t="n">
        <v>5</v>
      </c>
      <c r="H33" s="32">
        <f>F33*G33</f>
        <v/>
      </c>
      <c r="I33" s="32">
        <f>IF(H33&gt;=16,"最優先",IF(H33&gt;=12,"高",IF(H33&gt;=6,"中","低")))</f>
        <v/>
      </c>
      <c r="J33" s="35" t="inlineStr">
        <is>
          <t>**2週間健診のEPDSを必ず受ける**。パートナーが週1回、上記5項目を意識的にチェックする。マタニティブルーズ（2週間で軽快）との違いを事前に知っておく</t>
        </is>
      </c>
      <c r="K33" s="35" t="inlineStr">
        <is>
          <t>**2週間を超えたら即、保健センターか産科に相談する**。本人に判断させない。パートナーが予約を取る</t>
        </is>
      </c>
      <c r="L33" s="32" t="inlineStr">
        <is>
          <t>パートナー</t>
        </is>
      </c>
      <c r="M33" s="32" t="inlineStr">
        <is>
          <t>月1回</t>
        </is>
      </c>
      <c r="N33" s="37" t="inlineStr">
        <is>
          <t>未着手</t>
        </is>
      </c>
    </row>
    <row r="34" ht="76" customHeight="1">
      <c r="A34" s="38" t="inlineStr">
        <is>
          <t>R32</t>
        </is>
      </c>
      <c r="B34" s="38" t="inlineStr">
        <is>
          <t>P11</t>
        </is>
      </c>
      <c r="C34" s="39" t="inlineStr">
        <is>
          <t>「手伝う」姿勢（当事者ではなく補助者）への怒り</t>
        </is>
      </c>
      <c r="D34" s="23" t="inlineStr">
        <is>
          <t>「何かやることある？」「言ってくれればやるのに」</t>
        </is>
      </c>
      <c r="E34" s="23" t="inlineStr">
        <is>
          <t>指示待ちになっている／タスクの存在自体を把握していない</t>
        </is>
      </c>
      <c r="F34" s="37" t="n">
        <v>5</v>
      </c>
      <c r="G34" s="37" t="n">
        <v>4</v>
      </c>
      <c r="H34" s="38">
        <f>F34*G34</f>
        <v/>
      </c>
      <c r="I34" s="38">
        <f>IF(H34&gt;=16,"最優先",IF(H34&gt;=12,"高",IF(H34&gt;=6,"中","低")))</f>
        <v/>
      </c>
      <c r="J34" s="23" t="inlineStr">
        <is>
          <t>**領域ごと渡す**（沐浴・寝かしつけ・おむつのストック管理・保育園の情報収集など、判断ごと引き取る）。指示を出すこと自体が労働であると共有する</t>
        </is>
      </c>
      <c r="K34" s="23" t="inlineStr">
        <is>
          <t>タスクリストを開いて、オーナーを移す。「聞く」を減らし「決めて実行する」に変える</t>
        </is>
      </c>
      <c r="L34" s="38" t="inlineStr">
        <is>
          <t>パートナー</t>
        </is>
      </c>
      <c r="M34" s="38" t="inlineStr">
        <is>
          <t>月1回</t>
        </is>
      </c>
      <c r="N34" s="37" t="inlineStr">
        <is>
          <t>未着手</t>
        </is>
      </c>
    </row>
    <row r="35" ht="76" customHeight="1">
      <c r="A35" s="32" t="inlineStr">
        <is>
          <t>R33</t>
        </is>
      </c>
      <c r="B35" s="32" t="inlineStr">
        <is>
          <t>P12</t>
        </is>
      </c>
      <c r="C35" s="34" t="inlineStr">
        <is>
          <t>父の育休が取れない／短すぎて空白が生まれる</t>
        </is>
      </c>
      <c r="D35" s="35" t="inlineStr">
        <is>
          <t>産後2週間だけ取って復帰した</t>
        </is>
      </c>
      <c r="E35" s="35" t="inlineStr">
        <is>
          <t>生後1〜3ヶ月に支援が誰もいない</t>
        </is>
      </c>
      <c r="F35" s="37" t="n">
        <v>4</v>
      </c>
      <c r="G35" s="37" t="n">
        <v>5</v>
      </c>
      <c r="H35" s="32">
        <f>F35*G35</f>
        <v/>
      </c>
      <c r="I35" s="32">
        <f>IF(H35&gt;=16,"最優先",IF(H35&gt;=12,"高",IF(H35&gt;=6,"中","低")))</f>
        <v/>
      </c>
      <c r="J35" s="35" t="inlineStr">
        <is>
          <t>**育休を分割し、①退院〜産後3週 ②生後1〜3ヶ月 ③復職直前の慣らし保育期 に配分する**。会社への申出は妊娠後期までに</t>
        </is>
      </c>
      <c r="K35" s="35" t="inlineStr">
        <is>
          <t>有給・在宅勤務・時短を組み合わせて穴を埋める。祖父母・自治体ヘルパー・シッターを投入する</t>
        </is>
      </c>
      <c r="L35" s="32" t="inlineStr">
        <is>
          <t>パートナー</t>
        </is>
      </c>
      <c r="M35" s="32" t="inlineStr">
        <is>
          <t>月1回</t>
        </is>
      </c>
      <c r="N35" s="37" t="inlineStr">
        <is>
          <t>未着手</t>
        </is>
      </c>
    </row>
    <row r="36" ht="76" customHeight="1">
      <c r="A36" s="38" t="inlineStr">
        <is>
          <t>R34</t>
        </is>
      </c>
      <c r="B36" s="38" t="inlineStr">
        <is>
          <t>P12</t>
        </is>
      </c>
      <c r="C36" s="39" t="inlineStr">
        <is>
          <t>収入減による経済的不安が支出方針の対立になる</t>
        </is>
      </c>
      <c r="D36" s="23" t="inlineStr">
        <is>
          <t>育休給付は入金が遅く、手取りが下がる</t>
        </is>
      </c>
      <c r="E36" s="23" t="inlineStr">
        <is>
          <t>外注費・ベビー用品の支出で毎回揉める</t>
        </is>
      </c>
      <c r="F36" s="37" t="n">
        <v>3</v>
      </c>
      <c r="G36" s="37" t="n">
        <v>3</v>
      </c>
      <c r="H36" s="38">
        <f>F36*G36</f>
        <v/>
      </c>
      <c r="I36" s="38">
        <f>IF(H36&gt;=16,"最優先",IF(H36&gt;=12,"高",IF(H36&gt;=6,"中","低")))</f>
        <v/>
      </c>
      <c r="J36" s="23" t="inlineStr">
        <is>
          <t>**産後1年の資金繰り表を妊娠中に作る**。外注費を「必要経費」として先に予算化しておく。給付金の入金は2〜4ヶ月遅れる前提で現金を確保</t>
        </is>
      </c>
      <c r="K36" s="23" t="inlineStr">
        <is>
          <t>予算表に戻って優先順位で削る。削る対象は「モノ」から。時間を買う支出は最後に削る</t>
        </is>
      </c>
      <c r="L36" s="38" t="inlineStr">
        <is>
          <t>2人</t>
        </is>
      </c>
      <c r="M36" s="38" t="inlineStr">
        <is>
          <t>月1回</t>
        </is>
      </c>
      <c r="N36" s="37" t="inlineStr">
        <is>
          <t>未着手</t>
        </is>
      </c>
    </row>
    <row r="37" ht="76" customHeight="1">
      <c r="A37" s="32" t="inlineStr">
        <is>
          <t>R35</t>
        </is>
      </c>
      <c r="B37" s="32" t="inlineStr">
        <is>
          <t>P12</t>
        </is>
      </c>
      <c r="C37" s="34" t="inlineStr">
        <is>
          <t>性生活の再開時期のズレ</t>
        </is>
      </c>
      <c r="D37" s="35" t="inlineStr">
        <is>
          <t>1ヶ月健診で許可は出たが、体調・気力が戻っていない</t>
        </is>
      </c>
      <c r="E37" s="35" t="inlineStr">
        <is>
          <t>話題を避ける／拒否が続いて相手が傷つく</t>
        </is>
      </c>
      <c r="F37" s="37" t="n">
        <v>4</v>
      </c>
      <c r="G37" s="37" t="n">
        <v>3</v>
      </c>
      <c r="H37" s="32">
        <f>F37*G37</f>
        <v/>
      </c>
      <c r="I37" s="32">
        <f>IF(H37&gt;=16,"最優先",IF(H37&gt;=12,"高",IF(H37&gt;=6,"中","低")))</f>
        <v/>
      </c>
      <c r="J37" s="35" t="inlineStr">
        <is>
          <t>**再開の可否と時期は身体の回復とは別問題であると事前に共有する**。断ることが拒絶ではないと言語化しておく</t>
        </is>
      </c>
      <c r="K37" s="35" t="inlineStr">
        <is>
          <t>スキンシップと性交渉を切り離す。焦らせない。長引く場合は産婦人科で相談できる</t>
        </is>
      </c>
      <c r="L37" s="32" t="inlineStr">
        <is>
          <t>2人</t>
        </is>
      </c>
      <c r="M37" s="32" t="inlineStr">
        <is>
          <t>月1回</t>
        </is>
      </c>
      <c r="N37" s="37" t="inlineStr">
        <is>
          <t>未着手</t>
        </is>
      </c>
    </row>
    <row r="38" ht="76" customHeight="1">
      <c r="A38" s="38" t="inlineStr">
        <is>
          <t>R36</t>
        </is>
      </c>
      <c r="B38" s="38" t="inlineStr">
        <is>
          <t>P12</t>
        </is>
      </c>
      <c r="C38" s="39" t="inlineStr">
        <is>
          <t>スマホ・ゲーム・在宅勤務中の非協力</t>
        </is>
      </c>
      <c r="D38" s="23" t="inlineStr">
        <is>
          <t>同じ空間にいるのに手が出ない</t>
        </is>
      </c>
      <c r="E38" s="23" t="inlineStr">
        <is>
          <t>「家にいるのに何もしない」が出る</t>
        </is>
      </c>
      <c r="F38" s="37" t="n">
        <v>4</v>
      </c>
      <c r="G38" s="37" t="n">
        <v>3</v>
      </c>
      <c r="H38" s="38">
        <f>F38*G38</f>
        <v/>
      </c>
      <c r="I38" s="38">
        <f>IF(H38&gt;=16,"最優先",IF(H38&gt;=12,"高",IF(H38&gt;=6,"中","低")))</f>
        <v/>
      </c>
      <c r="J38" s="23" t="inlineStr">
        <is>
          <t>**在宅勤務中は「家にいるが不在」と定義し、対応可能な時間帯を明示する**。手が空いている時間帯の担当を決めておく</t>
        </is>
      </c>
      <c r="K38" s="23" t="inlineStr">
        <is>
          <t>時間帯ごとの担当表に戻す。曖昧な「空いてるとき」をなくす</t>
        </is>
      </c>
      <c r="L38" s="38" t="inlineStr">
        <is>
          <t>2人</t>
        </is>
      </c>
      <c r="M38" s="38" t="inlineStr">
        <is>
          <t>月1回</t>
        </is>
      </c>
      <c r="N38" s="37" t="inlineStr">
        <is>
          <t>未着手</t>
        </is>
      </c>
    </row>
    <row r="39" ht="76" customHeight="1">
      <c r="A39" s="32" t="inlineStr">
        <is>
          <t>R37</t>
        </is>
      </c>
      <c r="B39" s="32" t="inlineStr">
        <is>
          <t>P13</t>
        </is>
      </c>
      <c r="C39" s="34" t="inlineStr">
        <is>
          <t>保活の負担が片方に集中する</t>
        </is>
      </c>
      <c r="D39" s="35" t="inlineStr">
        <is>
          <t>見学・書類・点数計算・申込を一人でやっている</t>
        </is>
      </c>
      <c r="E39" s="35" t="inlineStr">
        <is>
          <t>「保育園のことは任せた」と言われた</t>
        </is>
      </c>
      <c r="F39" s="37" t="n">
        <v>4</v>
      </c>
      <c r="G39" s="37" t="n">
        <v>3</v>
      </c>
      <c r="H39" s="32">
        <f>F39*G39</f>
        <v/>
      </c>
      <c r="I39" s="32">
        <f>IF(H39&gt;=16,"最優先",IF(H39&gt;=12,"高",IF(H39&gt;=6,"中","低")))</f>
        <v/>
      </c>
      <c r="J39" s="35" t="inlineStr">
        <is>
          <t>**見学は2人で行く。就労証明書は各自が自分の会社に依頼する。申込書のダブルチェックを2人でやる**</t>
        </is>
      </c>
      <c r="K39" s="35" t="inlineStr">
        <is>
          <t>残タスクを分割する。締切が近い場合は、片方が全休を取って集中処理する</t>
        </is>
      </c>
      <c r="L39" s="32" t="inlineStr">
        <is>
          <t>2人</t>
        </is>
      </c>
      <c r="M39" s="32" t="inlineStr">
        <is>
          <t>月1回</t>
        </is>
      </c>
      <c r="N39" s="37" t="inlineStr">
        <is>
          <t>未着手</t>
        </is>
      </c>
    </row>
    <row r="40" ht="76" customHeight="1">
      <c r="A40" s="38" t="inlineStr">
        <is>
          <t>R38</t>
        </is>
      </c>
      <c r="B40" s="38" t="inlineStr">
        <is>
          <t>P13</t>
        </is>
      </c>
      <c r="C40" s="39" t="inlineStr">
        <is>
          <t>復職後の家事育児の再分配に失敗する</t>
        </is>
      </c>
      <c r="D40" s="23" t="inlineStr">
        <is>
          <t>育休中の分担のまま復職した</t>
        </is>
      </c>
      <c r="E40" s="23" t="inlineStr">
        <is>
          <t>朝が回らない／どちらかが毎回早退している</t>
        </is>
      </c>
      <c r="F40" s="37" t="n">
        <v>5</v>
      </c>
      <c r="G40" s="37" t="n">
        <v>4</v>
      </c>
      <c r="H40" s="38">
        <f>F40*G40</f>
        <v/>
      </c>
      <c r="I40" s="38">
        <f>IF(H40&gt;=16,"最優先",IF(H40&gt;=12,"高",IF(H40&gt;=6,"中","低")))</f>
        <v/>
      </c>
      <c r="J40" s="23" t="inlineStr">
        <is>
          <t>**復職の1ヶ月前に、1日のタイムテーブルを分単位で書いて分担を組み直す**。送りと迎えを分ける。発熱時の早退は交代制と先に決める</t>
        </is>
      </c>
      <c r="K40" s="23" t="inlineStr">
        <is>
          <t>1〜2週間ごとに実績を見て組み替える。回らないなら外注（シッター・病児保育・家事代行）を投入する</t>
        </is>
      </c>
      <c r="L40" s="38" t="inlineStr">
        <is>
          <t>2人</t>
        </is>
      </c>
      <c r="M40" s="38" t="inlineStr">
        <is>
          <t>月1回</t>
        </is>
      </c>
      <c r="N40" s="37" t="inlineStr">
        <is>
          <t>未着手</t>
        </is>
      </c>
    </row>
    <row r="41" ht="76" customHeight="1">
      <c r="A41" s="32" t="inlineStr">
        <is>
          <t>R39</t>
        </is>
      </c>
      <c r="B41" s="32" t="inlineStr">
        <is>
          <t>P13</t>
        </is>
      </c>
      <c r="C41" s="34" t="inlineStr">
        <is>
          <t>キャリアの不公平感（片方だけが制約を負う）</t>
        </is>
      </c>
      <c r="D41" s="35" t="inlineStr">
        <is>
          <t>時短・部署異動・昇進の見送りが片方に集中</t>
        </is>
      </c>
      <c r="E41" s="35" t="inlineStr">
        <is>
          <t>「私のキャリアだけ止まっている」が出る</t>
        </is>
      </c>
      <c r="F41" s="37" t="n">
        <v>4</v>
      </c>
      <c r="G41" s="37" t="n">
        <v>4</v>
      </c>
      <c r="H41" s="32">
        <f>F41*G41</f>
        <v/>
      </c>
      <c r="I41" s="32">
        <f>IF(H41&gt;=16,"最優先",IF(H41&gt;=12,"高",IF(H41&gt;=6,"中","低")))</f>
        <v/>
      </c>
      <c r="J41" s="35" t="inlineStr">
        <is>
          <t>**時短や制約を負う側を固定しない**（例：1年ごとに交代する、育休を2人とも取る）。3年後のキャリアの希望を2人とも言語化しておく</t>
        </is>
      </c>
      <c r="K41" s="35" t="inlineStr">
        <is>
          <t>負担の交代を具体的に検討する。金銭的な補償ではなく、時間と機会で調整する</t>
        </is>
      </c>
      <c r="L41" s="32" t="inlineStr">
        <is>
          <t>2人</t>
        </is>
      </c>
      <c r="M41" s="32" t="inlineStr">
        <is>
          <t>月1回</t>
        </is>
      </c>
      <c r="N41" s="37" t="inlineStr">
        <is>
          <t>未着手</t>
        </is>
      </c>
    </row>
    <row r="42" ht="76" customHeight="1">
      <c r="A42" s="38" t="inlineStr">
        <is>
          <t>R40</t>
        </is>
      </c>
      <c r="B42" s="38" t="inlineStr">
        <is>
          <t>P13</t>
        </is>
      </c>
      <c r="C42" s="39" t="inlineStr">
        <is>
          <t>実家依存と、頼れない側の孤立</t>
        </is>
      </c>
      <c r="D42" s="23" t="inlineStr">
        <is>
          <t>片方の実家だけが近く、そこにばかり頼る</t>
        </is>
      </c>
      <c r="E42" s="23" t="inlineStr">
        <is>
          <t>「あなたの実家ばかり」／もう片方が疎外感を持つ</t>
        </is>
      </c>
      <c r="F42" s="37" t="n">
        <v>3</v>
      </c>
      <c r="G42" s="37" t="n">
        <v>3</v>
      </c>
      <c r="H42" s="38">
        <f>F42*G42</f>
        <v/>
      </c>
      <c r="I42" s="38">
        <f>IF(H42&gt;=16,"最優先",IF(H42&gt;=12,"高",IF(H42&gt;=6,"中","低")))</f>
        <v/>
      </c>
      <c r="J42" s="23" t="inlineStr">
        <is>
          <t>頼る先を実家に一本化しない（自治体のファミサポ・シッター・一時預かりを並行して確保する）。頼った回数と内容を可視化する</t>
        </is>
      </c>
      <c r="K42" s="23" t="inlineStr">
        <is>
          <t>外部サービスの比率を上げる。もう一方の実家との関わり方を改めて相談する</t>
        </is>
      </c>
      <c r="L42" s="38" t="inlineStr">
        <is>
          <t>2人</t>
        </is>
      </c>
      <c r="M42" s="38" t="inlineStr">
        <is>
          <t>月1回</t>
        </is>
      </c>
      <c r="N42" s="37" t="inlineStr">
        <is>
          <t>未着手</t>
        </is>
      </c>
    </row>
    <row r="43" ht="76" customHeight="1">
      <c r="A43" s="32" t="inlineStr">
        <is>
          <t>R41</t>
        </is>
      </c>
      <c r="B43" s="32" t="inlineStr">
        <is>
          <t>通期</t>
        </is>
      </c>
      <c r="C43" s="34" t="inlineStr">
        <is>
          <t>会話量が減り、感謝が言語化されなくなる</t>
        </is>
      </c>
      <c r="D43" s="35" t="inlineStr">
        <is>
          <t>余裕がない／同じ話（子どものこと）しかしない</t>
        </is>
      </c>
      <c r="E43" s="35" t="inlineStr">
        <is>
          <t>業務連絡だけになる／「ありがとう」が消える</t>
        </is>
      </c>
      <c r="F43" s="37" t="n">
        <v>5</v>
      </c>
      <c r="G43" s="37" t="n">
        <v>4</v>
      </c>
      <c r="H43" s="32">
        <f>F43*G43</f>
        <v/>
      </c>
      <c r="I43" s="32">
        <f>IF(H43&gt;=16,"最優先",IF(H43&gt;=12,"高",IF(H43&gt;=6,"中","低")))</f>
        <v/>
      </c>
      <c r="J43" s="35" t="inlineStr">
        <is>
          <t>**週1回15分のミーティングを、同棲開始から1歳まで一度も止めない**。議題は家事・お金・体調・来週の予定・不満の5つ。子どもの話以外を1つ入れる</t>
        </is>
      </c>
      <c r="K43" s="35" t="inlineStr">
        <is>
          <t>外で2人だけの時間を作る（一時預かり・シッター・祖父母を使う）。1〜2時間でも効果がある</t>
        </is>
      </c>
      <c r="L43" s="32" t="inlineStr">
        <is>
          <t>2人</t>
        </is>
      </c>
      <c r="M43" s="32" t="inlineStr">
        <is>
          <t>月1回</t>
        </is>
      </c>
      <c r="N43" s="37" t="inlineStr">
        <is>
          <t>未着手</t>
        </is>
      </c>
    </row>
    <row r="44" ht="76" customHeight="1">
      <c r="A44" s="38" t="inlineStr">
        <is>
          <t>R42</t>
        </is>
      </c>
      <c r="B44" s="38" t="inlineStr">
        <is>
          <t>通期</t>
        </is>
      </c>
      <c r="C44" s="39" t="inlineStr">
        <is>
          <t>お金の管理方針（共通か分離か）が合わないまま進む</t>
        </is>
      </c>
      <c r="D44" s="23" t="inlineStr">
        <is>
          <t>収入差、価値観の差、片方が管理している</t>
        </is>
      </c>
      <c r="E44" s="23" t="inlineStr">
        <is>
          <t>支出の話題を避ける／隠し口座がある</t>
        </is>
      </c>
      <c r="F44" s="37" t="n">
        <v>3</v>
      </c>
      <c r="G44" s="37" t="n">
        <v>4</v>
      </c>
      <c r="H44" s="38">
        <f>F44*G44</f>
        <v/>
      </c>
      <c r="I44" s="38">
        <f>IF(H44&gt;=16,"最優先",IF(H44&gt;=12,"高",IF(H44&gt;=6,"中","低")))</f>
        <v/>
      </c>
      <c r="J44" s="23" t="inlineStr">
        <is>
          <t>共通口座＋各自の自由費の二層構造を、収入が変わるたびに見直す（育休で手取りが下がる時が最大の変化点）</t>
        </is>
      </c>
      <c r="K44" s="23" t="inlineStr">
        <is>
          <t>収入比率が変わった時点で入金額を再計算する。管理を片方に任せきりにしない</t>
        </is>
      </c>
      <c r="L44" s="38" t="inlineStr">
        <is>
          <t>2人</t>
        </is>
      </c>
      <c r="M44" s="38" t="inlineStr">
        <is>
          <t>月1回</t>
        </is>
      </c>
      <c r="N44" s="37" t="inlineStr">
        <is>
          <t>未着手</t>
        </is>
      </c>
    </row>
    <row r="45" ht="76" customHeight="1">
      <c r="A45" s="32" t="inlineStr">
        <is>
          <t>R43</t>
        </is>
      </c>
      <c r="B45" s="32" t="inlineStr">
        <is>
          <t>通期</t>
        </is>
      </c>
      <c r="C45" s="34" t="inlineStr">
        <is>
          <t>子育て方針で対立する（教育・しつけ・手作り信仰）</t>
        </is>
      </c>
      <c r="D45" s="35" t="inlineStr">
        <is>
          <t>離乳食は手作りすべき、テレビは見せない等</t>
        </is>
      </c>
      <c r="E45" s="35" t="inlineStr">
        <is>
          <t>相手のやり方をその場で否定する／子どもの前で言い合う</t>
        </is>
      </c>
      <c r="F45" s="37" t="n">
        <v>4</v>
      </c>
      <c r="G45" s="37" t="n">
        <v>3</v>
      </c>
      <c r="H45" s="32">
        <f>F45*G45</f>
        <v/>
      </c>
      <c r="I45" s="32">
        <f>IF(H45&gt;=16,"最優先",IF(H45&gt;=12,"高",IF(H45&gt;=6,"中","低")))</f>
        <v/>
      </c>
      <c r="J45" s="35" t="inlineStr">
        <is>
          <t>**「子どもの前では相手のやり方を否定しない」を先にルール化する**。方針の議論は子どもがいないところで。エビデンスがある事項（うつ伏せ寝、はちみつ、卵の開始時期）は情報源を共有して合わせる</t>
        </is>
      </c>
      <c r="K45" s="35" t="inlineStr">
        <is>
          <t>その場は流し、後で話す。譲れない安全事項だけは即時に止める</t>
        </is>
      </c>
      <c r="L45" s="32" t="inlineStr">
        <is>
          <t>2人</t>
        </is>
      </c>
      <c r="M45" s="32" t="inlineStr">
        <is>
          <t>月1回</t>
        </is>
      </c>
      <c r="N45" s="37" t="inlineStr">
        <is>
          <t>未着手</t>
        </is>
      </c>
    </row>
  </sheetData>
  <autoFilter ref="A2:N45"/>
  <conditionalFormatting sqref="N3:N45">
    <cfRule type="cellIs" priority="1" operator="equal" dxfId="2">
      <formula>"完了"</formula>
    </cfRule>
    <cfRule type="cellIs" priority="2" operator="equal" dxfId="3">
      <formula>"進行中"</formula>
    </cfRule>
    <cfRule type="cellIs" priority="3" operator="equal" dxfId="4">
      <formula>"対象外"</formula>
    </cfRule>
  </conditionalFormatting>
  <conditionalFormatting sqref="I3:I45">
    <cfRule type="cellIs" priority="4" operator="equal" dxfId="6">
      <formula>"最優先"</formula>
    </cfRule>
    <cfRule type="cellIs" priority="5" operator="equal" dxfId="7">
      <formula>"高"</formula>
    </cfRule>
    <cfRule type="cellIs" priority="6" operator="equal" dxfId="3">
      <formula>"中"</formula>
    </cfRule>
  </conditionalFormatting>
  <conditionalFormatting sqref="H3:H45">
    <cfRule type="cellIs" priority="7" operator="greaterThanOrEqual" dxfId="8">
      <formula>16</formula>
    </cfRule>
  </conditionalFormatting>
  <dataValidations count="2">
    <dataValidation sqref="N3:N45" showDropDown="0" showInputMessage="0" showErrorMessage="0" allowBlank="1" type="list">
      <formula1>"未着手,進行中,完了,対象外"</formula1>
    </dataValidation>
    <dataValidation sqref="F3:G45" showDropDown="0" showInputMessage="0" showErrorMessage="1" allowBlank="1" error="1〜5の整数を入れてください"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2026-08-11T14:00:32Z</dcterms:created>
  <dcterms:modified xsi:type="dcterms:W3CDTF">2026-08-11T14:00:33Z</dcterms:modified>
</cp:coreProperties>
</file>