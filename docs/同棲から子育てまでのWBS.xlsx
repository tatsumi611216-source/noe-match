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①ロードマップ" sheetId="2" state="visible" r:id="rId2"/>
    <sheet name="②WBS" sheetId="3" state="visible" r:id="rId3"/>
    <sheet name="③リスク管理表" sheetId="4" state="visible" r:id="rId4"/>
  </sheets>
  <definedNames>
    <definedName name="_xlnm._FilterDatabase" localSheetId="1" hidden="1">'①ロードマップ'!$A$3:$N$16</definedName>
    <definedName name="_xlnm._FilterDatabase" localSheetId="2" hidden="1">'②WBS'!$A$2:$R$664</definedName>
    <definedName name="_xlnm._FilterDatabase" localSheetId="3" hidden="1">'③リスク管理表'!$A$2:$Q$133</definedName>
  </definedNames>
  <calcPr calcId="124519" fullCalcOnLoad="1"/>
</workbook>
</file>

<file path=xl/styles.xml><?xml version="1.0" encoding="utf-8"?>
<styleSheet xmlns="http://schemas.openxmlformats.org/spreadsheetml/2006/main">
  <numFmts count="6">
    <numFmt numFmtId="164" formatCode="yy&quot;/&quot;m"/>
    <numFmt numFmtId="165" formatCode="yyyy&quot;年&quot;m&quot;月&quot;"/>
    <numFmt numFmtId="166" formatCode="yyyy&quot;/&quot;m"/>
    <numFmt numFmtId="167" formatCode="yyyy-mm-dd"/>
    <numFmt numFmtId="168" formatCode="yyyy/mm/dd"/>
    <numFmt numFmtId="169" formatCode="0.0%"/>
  </numFmts>
  <fonts count="15">
    <font>
      <name val="Calibri"/>
      <family val="2"/>
      <color theme="1"/>
      <sz val="11"/>
      <scheme val="minor"/>
    </font>
    <font>
      <name val="Meiryo"/>
      <b val="1"/>
      <color rgb="002F6B4F"/>
      <sz val="14"/>
    </font>
    <font>
      <name val="Meiryo"/>
      <color rgb="006B756E"/>
      <sz val="9"/>
    </font>
    <font>
      <name val="Meiryo"/>
      <color rgb="006B756E"/>
      <sz val="8"/>
    </font>
    <font>
      <name val="Meiryo"/>
      <color rgb="009AA69C"/>
      <sz val="7"/>
    </font>
    <font>
      <name val="Meiryo"/>
      <b val="1"/>
      <color rgb="00FFFFFF"/>
      <sz val="10"/>
    </font>
    <font>
      <name val="Meiryo"/>
      <b val="1"/>
      <color rgb="00FFFFFF"/>
      <sz val="7"/>
    </font>
    <font>
      <name val="Meiryo"/>
      <color rgb="001F2A24"/>
      <sz val="10"/>
    </font>
    <font>
      <name val="Meiryo"/>
      <b val="1"/>
      <color rgb="001F2A24"/>
      <sz val="10"/>
    </font>
    <font>
      <name val="Meiryo"/>
      <b val="1"/>
      <color rgb="00A93C27"/>
      <sz val="14"/>
    </font>
    <font>
      <name val="Meiryo"/>
      <b val="1"/>
      <color rgb="002F6B4F"/>
      <sz val="16"/>
    </font>
    <font>
      <name val="Meiryo"/>
      <b val="1"/>
      <color rgb="001F2A24"/>
      <sz val="11"/>
    </font>
    <font>
      <name val="Meiryo"/>
      <b val="1"/>
      <color rgb="000000FF"/>
      <sz val="11"/>
    </font>
    <font>
      <name val="Meiryo"/>
      <b val="1"/>
      <color rgb="002F6B4F"/>
      <sz val="10"/>
    </font>
    <font>
      <name val="Meiryo"/>
      <color rgb="004B564E"/>
      <sz val="9"/>
    </font>
  </fonts>
  <fills count="8">
    <fill>
      <patternFill/>
    </fill>
    <fill>
      <patternFill patternType="gray125"/>
    </fill>
    <fill>
      <patternFill patternType="solid">
        <fgColor rgb="002F6B4F"/>
      </patternFill>
    </fill>
    <fill>
      <patternFill patternType="solid">
        <fgColor rgb="00FFF6CC"/>
      </patternFill>
    </fill>
    <fill>
      <patternFill patternType="solid">
        <fgColor rgb="00E6ECE6"/>
      </patternFill>
    </fill>
    <fill>
      <patternFill patternType="solid">
        <fgColor rgb="00E6EDE7"/>
      </patternFill>
    </fill>
    <fill>
      <patternFill patternType="solid">
        <fgColor rgb="00F5F7F4"/>
      </patternFill>
    </fill>
    <fill>
      <patternFill patternType="solid">
        <fgColor rgb="00A93C27"/>
      </patternFill>
    </fill>
  </fills>
  <borders count="2">
    <border>
      <left/>
      <right/>
      <top/>
      <bottom/>
      <diagonal/>
    </border>
    <border>
      <left style="thin">
        <color rgb="00C9D2C9"/>
      </left>
      <right style="thin">
        <color rgb="00C9D2C9"/>
      </right>
      <top style="thin">
        <color rgb="00C9D2C9"/>
      </top>
      <bottom style="thin">
        <color rgb="00C9D2C9"/>
      </bottom>
    </border>
  </borders>
  <cellStyleXfs count="1">
    <xf numFmtId="0" fontId="0" fillId="0" borderId="0"/>
  </cellStyleXfs>
  <cellXfs count="51">
    <xf numFmtId="0" fontId="0" fillId="0" borderId="0" pivotButton="0" quotePrefix="0" xfId="0"/>
    <xf numFmtId="0" fontId="10" fillId="0" borderId="0" pivotButton="0" quotePrefix="0" xfId="0"/>
    <xf numFmtId="0" fontId="2" fillId="0" borderId="0" pivotButton="0" quotePrefix="0" xfId="0"/>
    <xf numFmtId="0" fontId="11" fillId="0" borderId="0" pivotButton="0" quotePrefix="0" xfId="0"/>
    <xf numFmtId="0" fontId="7" fillId="0" borderId="0" pivotButton="0" quotePrefix="0" xfId="0"/>
    <xf numFmtId="168" fontId="12" fillId="3" borderId="1" pivotButton="0" quotePrefix="0" xfId="0"/>
    <xf numFmtId="0" fontId="13" fillId="0" borderId="0" pivotButton="0" quotePrefix="0" xfId="0"/>
    <xf numFmtId="0" fontId="7" fillId="0" borderId="0" applyAlignment="1" pivotButton="0" quotePrefix="0" xfId="0">
      <alignment vertical="top" wrapText="1"/>
    </xf>
    <xf numFmtId="0" fontId="14" fillId="0" borderId="0" applyAlignment="1" pivotButton="0" quotePrefix="0" xfId="0">
      <alignment vertical="top" wrapText="1"/>
    </xf>
    <xf numFmtId="0" fontId="8" fillId="3" borderId="1" pivotButton="0" quotePrefix="0" xfId="0"/>
    <xf numFmtId="0" fontId="8" fillId="0" borderId="1" pivotButton="0" quotePrefix="0" xfId="0"/>
    <xf numFmtId="0" fontId="5" fillId="2" borderId="1" pivotButton="0" quotePrefix="0" xfId="0"/>
    <xf numFmtId="0" fontId="7" fillId="0" borderId="1" pivotButton="0" quotePrefix="0" xfId="0"/>
    <xf numFmtId="0" fontId="7" fillId="3" borderId="1" pivotButton="0" quotePrefix="0" xfId="0"/>
    <xf numFmtId="0" fontId="5" fillId="2" borderId="1" applyAlignment="1" pivotButton="0" quotePrefix="0" xfId="0">
      <alignment horizontal="center"/>
    </xf>
    <xf numFmtId="0" fontId="7" fillId="0" borderId="1" applyAlignment="1" pivotButton="0" quotePrefix="0" xfId="0">
      <alignment horizontal="center"/>
    </xf>
    <xf numFmtId="169" fontId="7" fillId="0" borderId="1" applyAlignment="1" pivotButton="0" quotePrefix="0" xfId="0">
      <alignment horizontal="center"/>
    </xf>
    <xf numFmtId="0" fontId="1" fillId="0" borderId="0" pivotButton="0" quotePrefix="0" xfId="0"/>
    <xf numFmtId="0" fontId="3" fillId="0" borderId="0" applyAlignment="1" pivotButton="0" quotePrefix="0" xfId="0">
      <alignment horizontal="right"/>
    </xf>
    <xf numFmtId="0" fontId="4" fillId="0" borderId="0" applyAlignment="1" pivotButton="0" quotePrefix="0" xfId="0">
      <alignment horizontal="center"/>
    </xf>
    <xf numFmtId="0" fontId="5" fillId="2" borderId="1" applyAlignment="1" pivotButton="0" quotePrefix="0" xfId="0">
      <alignment vertical="center" wrapText="1"/>
    </xf>
    <xf numFmtId="164" fontId="6" fillId="2" borderId="0" applyAlignment="1" pivotButton="0" quotePrefix="0" xfId="0">
      <alignment horizontal="center" vertical="center" textRotation="90"/>
    </xf>
    <xf numFmtId="0" fontId="7" fillId="0" borderId="1" applyAlignment="1" pivotButton="0" quotePrefix="0" xfId="0">
      <alignment vertical="top"/>
    </xf>
    <xf numFmtId="0" fontId="8" fillId="0" borderId="1" applyAlignment="1" pivotButton="0" quotePrefix="0" xfId="0">
      <alignment vertical="top"/>
    </xf>
    <xf numFmtId="0" fontId="7" fillId="0" borderId="1" applyAlignment="1" pivotButton="0" quotePrefix="0" xfId="0">
      <alignment vertical="top" wrapText="1"/>
    </xf>
    <xf numFmtId="3" fontId="7" fillId="3" borderId="1" applyAlignment="1" pivotButton="0" quotePrefix="0" xfId="0">
      <alignment horizontal="center" vertical="top"/>
    </xf>
    <xf numFmtId="3" fontId="7" fillId="0" borderId="1" applyAlignment="1" pivotButton="0" quotePrefix="0" xfId="0">
      <alignment horizontal="center" vertical="top"/>
    </xf>
    <xf numFmtId="165" fontId="7" fillId="0" borderId="1" applyAlignment="1" pivotButton="0" quotePrefix="0" xfId="0">
      <alignment vertical="top"/>
    </xf>
    <xf numFmtId="0" fontId="7" fillId="3" borderId="1" applyAlignment="1" pivotButton="0" quotePrefix="0" xfId="0">
      <alignment vertical="top"/>
    </xf>
    <xf numFmtId="0" fontId="0" fillId="4" borderId="1" pivotButton="0" quotePrefix="0" xfId="0"/>
    <xf numFmtId="0" fontId="8" fillId="4" borderId="1" pivotButton="0" quotePrefix="0" xfId="0"/>
    <xf numFmtId="3" fontId="8" fillId="4" borderId="1" applyAlignment="1" pivotButton="0" quotePrefix="0" xfId="0">
      <alignment horizontal="center"/>
    </xf>
    <xf numFmtId="0" fontId="2" fillId="4" borderId="1" pivotButton="0" quotePrefix="0" xfId="0"/>
    <xf numFmtId="0" fontId="7" fillId="5" borderId="1" applyAlignment="1" pivotButton="0" quotePrefix="0" xfId="0">
      <alignment horizontal="center" vertical="top"/>
    </xf>
    <xf numFmtId="0" fontId="7" fillId="5" borderId="1" applyAlignment="1" pivotButton="0" quotePrefix="0" xfId="0">
      <alignment vertical="top"/>
    </xf>
    <xf numFmtId="0" fontId="8" fillId="5" borderId="1" applyAlignment="1" pivotButton="0" quotePrefix="0" xfId="0">
      <alignment vertical="top" wrapText="1"/>
    </xf>
    <xf numFmtId="0" fontId="7" fillId="5" borderId="1" applyAlignment="1" pivotButton="0" quotePrefix="0" xfId="0">
      <alignment vertical="top" wrapText="1"/>
    </xf>
    <xf numFmtId="166" fontId="7" fillId="5" borderId="1" applyAlignment="1" pivotButton="0" quotePrefix="0" xfId="0">
      <alignment horizontal="center" vertical="top"/>
    </xf>
    <xf numFmtId="0" fontId="7" fillId="3" borderId="1" applyAlignment="1" pivotButton="0" quotePrefix="0" xfId="0">
      <alignment horizontal="center" vertical="top"/>
    </xf>
    <xf numFmtId="0" fontId="7" fillId="0" borderId="1" applyAlignment="1" pivotButton="0" quotePrefix="0" xfId="0">
      <alignment horizontal="center" vertical="top"/>
    </xf>
    <xf numFmtId="0" fontId="7" fillId="0" borderId="1" applyAlignment="1" pivotButton="0" quotePrefix="0" xfId="0">
      <alignment vertical="top" wrapText="1" indent="2"/>
    </xf>
    <xf numFmtId="166" fontId="7" fillId="0" borderId="1" applyAlignment="1" pivotButton="0" quotePrefix="0" xfId="0">
      <alignment horizontal="center" vertical="top"/>
    </xf>
    <xf numFmtId="0" fontId="7" fillId="6" borderId="1" applyAlignment="1" pivotButton="0" quotePrefix="0" xfId="0">
      <alignment horizontal="center" vertical="top"/>
    </xf>
    <xf numFmtId="0" fontId="7" fillId="6" borderId="1" applyAlignment="1" pivotButton="0" quotePrefix="0" xfId="0">
      <alignment vertical="top"/>
    </xf>
    <xf numFmtId="0" fontId="7" fillId="6" borderId="1" applyAlignment="1" pivotButton="0" quotePrefix="0" xfId="0">
      <alignment vertical="top" wrapText="1" indent="2"/>
    </xf>
    <xf numFmtId="0" fontId="7" fillId="6" borderId="1" applyAlignment="1" pivotButton="0" quotePrefix="0" xfId="0">
      <alignment vertical="top" wrapText="1"/>
    </xf>
    <xf numFmtId="166" fontId="7" fillId="6" borderId="1" applyAlignment="1" pivotButton="0" quotePrefix="0" xfId="0">
      <alignment horizontal="center" vertical="top"/>
    </xf>
    <xf numFmtId="0" fontId="9" fillId="0" borderId="0" pivotButton="0" quotePrefix="0" xfId="0"/>
    <xf numFmtId="0" fontId="5" fillId="7" borderId="1" applyAlignment="1" pivotButton="0" quotePrefix="0" xfId="0">
      <alignment vertical="center" wrapText="1"/>
    </xf>
    <xf numFmtId="0" fontId="8" fillId="6"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dxfs count="9">
    <dxf>
      <fill>
        <patternFill patternType="solid">
          <fgColor rgb="00E5D3AE"/>
        </patternFill>
      </fill>
    </dxf>
    <dxf>
      <fill>
        <patternFill patternType="solid">
          <fgColor rgb="00BFD9C6"/>
        </patternFill>
      </fill>
    </dxf>
    <dxf>
      <font>
        <name val="Meiryo"/>
        <color rgb="002F6B4F"/>
      </font>
      <fill>
        <patternFill patternType="solid">
          <fgColor rgb="00D6EBDC"/>
        </patternFill>
      </fill>
    </dxf>
    <dxf>
      <font>
        <name val="Meiryo"/>
        <color rgb="008A6428"/>
      </font>
      <fill>
        <patternFill patternType="solid">
          <fgColor rgb="00FCEFD0"/>
        </patternFill>
      </fill>
    </dxf>
    <dxf>
      <font>
        <name val="Meiryo"/>
        <color rgb="009AA69C"/>
      </font>
      <fill>
        <patternFill patternType="solid">
          <fgColor rgb="00EDEFEC"/>
        </patternFill>
      </fill>
    </dxf>
    <dxf>
      <font>
        <name val="Meiryo"/>
        <b val="1"/>
        <color rgb="00A93C27"/>
      </font>
      <fill>
        <patternFill patternType="solid">
          <fgColor rgb="00F6E3DD"/>
        </patternFill>
      </fill>
    </dxf>
    <dxf>
      <font>
        <name val="Meiryo"/>
        <b val="1"/>
        <color rgb="00FFFFFF"/>
      </font>
      <fill>
        <patternFill patternType="solid">
          <fgColor rgb="00A93C27"/>
        </patternFill>
      </fill>
    </dxf>
    <dxf>
      <font>
        <name val="Meiryo"/>
        <color rgb="00A93C27"/>
      </font>
      <fill>
        <patternFill patternType="solid">
          <fgColor rgb="00F0C9BE"/>
        </patternFill>
      </fill>
    </dxf>
    <dxf>
      <font>
        <name val="Meiryo"/>
        <b val="1"/>
        <color rgb="00A93C27"/>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showGridLines="0" workbookViewId="0">
      <selection activeCell="A1" sqref="A1"/>
    </sheetView>
  </sheetViews>
  <sheetFormatPr baseColWidth="8" defaultRowHeight="15"/>
  <cols>
    <col width="30" customWidth="1" min="1" max="1"/>
    <col width="12" customWidth="1" min="2" max="2"/>
    <col width="14" customWidth="1" min="3" max="3"/>
    <col width="14" customWidth="1" min="4" max="4"/>
    <col width="12" customWidth="1" min="5" max="5"/>
    <col width="12" customWidth="1" min="6" max="6"/>
    <col width="12" customWidth="1" min="7" max="7"/>
  </cols>
  <sheetData>
    <row r="1">
      <c r="A1" s="1" t="inlineStr">
        <is>
          <t>同棲 → 結婚 → 結婚式 → 妊活 → 出産 → 子1歳 の計画表</t>
        </is>
      </c>
    </row>
    <row r="2">
      <c r="A2" s="2" t="inlineStr">
        <is>
          <t>作成日：2026-08-11 ／ 制度情報は2026年8月時点</t>
        </is>
      </c>
    </row>
    <row r="4">
      <c r="A4" s="3" t="inlineStr">
        <is>
          <t>■ 最初にここだけ入力してください</t>
        </is>
      </c>
    </row>
    <row r="5">
      <c r="A5" s="4" t="inlineStr">
        <is>
          <t>基準日（＝計画の起点。同棲を始める月の1日を入れる）</t>
        </is>
      </c>
      <c r="C5" s="5" t="n">
        <v>46296</v>
      </c>
    </row>
    <row r="6">
      <c r="A6" s="2" t="inlineStr">
        <is>
          <t>→ この日付を変えると、①②の「予定開始／予定完了／目安時期」とガントが全部動きます</t>
        </is>
      </c>
    </row>
    <row r="8">
      <c r="A8" s="3" t="inlineStr">
        <is>
          <t>■ シートの構成</t>
        </is>
      </c>
    </row>
    <row r="9" ht="34" customHeight="1">
      <c r="A9" s="6" t="inlineStr">
        <is>
          <t>①ロードマップ</t>
        </is>
      </c>
      <c r="C9" s="7" t="inlineStr">
        <is>
          <t>13フェーズの全体像。期間・費用・意思決定・リスクを1行にまとめ、右側に49ヶ月分のガントチャート</t>
        </is>
      </c>
    </row>
    <row r="10" ht="34" customHeight="1">
      <c r="A10" s="6" t="inlineStr">
        <is>
          <t>②WBS</t>
        </is>
      </c>
      <c r="C10" s="7" t="inlineStr">
        <is>
          <t>①を分解した実行タスク一覧。濃い行＝タスク、薄い行＝その中の実行ステップ。「論点・決めること」「選択肢・候補」「判断軸・注意点」の3列が実際に迷う場所</t>
        </is>
      </c>
    </row>
    <row r="11" ht="34" customHeight="1">
      <c r="A11" s="6" t="inlineStr">
        <is>
          <t>③リスク管理表</t>
        </is>
      </c>
      <c r="C11" s="7" t="inlineStr">
        <is>
          <t>各フェーズで配偶者との関係が悪化する想定リスクと、早期サイン・相手側から見えている景色・予防策・初動・再発防止</t>
        </is>
      </c>
    </row>
    <row r="13">
      <c r="A13" s="3" t="inlineStr">
        <is>
          <t>■ 使い方のコツ</t>
        </is>
      </c>
    </row>
    <row r="14" ht="28" customHeight="1">
      <c r="A14" s="8" t="inlineStr">
        <is>
          <t>②WBS は行がグループ化してあります。シート左の「−」を押すと実行ステップが折りたたまれ、タスクだけの一覧になります。</t>
        </is>
      </c>
    </row>
    <row r="15" ht="28" customHeight="1">
      <c r="A15" s="8" t="inlineStr">
        <is>
          <t>②WBS の2行目でフィルタをかけられます。「フェーズ」で今の時期だけ、「区分＝法定」で期限のあるものだけ、「担当」で自分の分だけ、という見方ができます。</t>
        </is>
      </c>
    </row>
    <row r="16" ht="28" customHeight="1">
      <c r="A16" s="8" t="inlineStr">
        <is>
          <t>③リスク管理表は、確率と影響を自分たちの実感に合わせて1〜5で書き換えてください。スコアと優先度が自動で変わります。</t>
        </is>
      </c>
    </row>
    <row r="17" ht="28" customHeight="1">
      <c r="A17" s="8" t="inlineStr">
        <is>
          <t>毎週15分のミーティングで、②の「進行中」の行と③の「早期サイン」列だけを2人で見る、という使い方を想定しています。</t>
        </is>
      </c>
    </row>
    <row r="19">
      <c r="A19" s="3" t="inlineStr">
        <is>
          <t>■ 色と表記の意味</t>
        </is>
      </c>
    </row>
    <row r="20" ht="30" customHeight="1">
      <c r="A20" s="9" t="inlineStr">
        <is>
          <t>黄色のセル</t>
        </is>
      </c>
      <c r="C20" s="7" t="inlineStr">
        <is>
          <t>自分たちで書き換える入力欄（基準日・期間・費用・確率・影響・状態・メモ）</t>
        </is>
      </c>
    </row>
    <row r="21" ht="30" customHeight="1">
      <c r="A21" s="10" t="inlineStr">
        <is>
          <t>白いセル</t>
        </is>
      </c>
      <c r="C21" s="7" t="inlineStr">
        <is>
          <t>そのまま使う内容、または自動計算（数式が入っているので上書きしない）</t>
        </is>
      </c>
    </row>
    <row r="22" ht="30" customHeight="1">
      <c r="A22" s="10" t="inlineStr">
        <is>
          <t>赤い文字・赤い背景</t>
        </is>
      </c>
      <c r="C22" s="7" t="inlineStr">
        <is>
          <t>法定期限があるもの／リスクの優先度が高いもの</t>
        </is>
      </c>
    </row>
    <row r="23" ht="30" customHeight="1">
      <c r="A23" s="10" t="inlineStr">
        <is>
          <t>担当欄の「妊娠する側」</t>
        </is>
      </c>
      <c r="C23" s="7" t="inlineStr">
        <is>
          <t>妊娠・出産する本人。「パートナー」はもう一方。あくまで一般的な例なので、実際の家庭に合わせて書き換えてください</t>
        </is>
      </c>
    </row>
    <row r="24" ht="30" customHeight="1">
      <c r="A24" s="10" t="inlineStr">
        <is>
          <t>Lv列</t>
        </is>
      </c>
      <c r="C24" s="7" t="inlineStr">
        <is>
          <t>2＝タスク（意思決定を含む親）、3＝その中の実行ステップ</t>
        </is>
      </c>
    </row>
    <row r="26">
      <c r="A26" s="3" t="inlineStr">
        <is>
          <t>■ 記入例（②WBS の使い方）</t>
        </is>
      </c>
    </row>
    <row r="27">
      <c r="A27" s="11" t="inlineStr">
        <is>
          <t>WBS-ID</t>
        </is>
      </c>
      <c r="B27" s="11" t="inlineStr">
        <is>
          <t>タスク</t>
        </is>
      </c>
      <c r="C27" s="11" t="inlineStr">
        <is>
          <t>状態</t>
        </is>
      </c>
      <c r="D27" s="11" t="inlineStr">
        <is>
          <t>メモ</t>
        </is>
      </c>
    </row>
    <row r="28">
      <c r="A28" s="12" t="inlineStr">
        <is>
          <t>P1-02-03</t>
        </is>
      </c>
      <c r="B28" s="12" t="inlineStr">
        <is>
          <t>内定最低指数を調べる</t>
        </is>
      </c>
      <c r="C28" s="13" t="inlineStr">
        <is>
          <t>進行中</t>
        </is>
      </c>
      <c r="D28" s="13" t="inlineStr">
        <is>
          <t>9/20に◯◯区と△△市を比較。10/5までに結論</t>
        </is>
      </c>
    </row>
    <row r="30">
      <c r="A30" s="3" t="inlineStr">
        <is>
          <t>■ 進捗サマリー（自動集計）</t>
        </is>
      </c>
    </row>
    <row r="31">
      <c r="A31" s="14" t="inlineStr"/>
      <c r="B31" s="14" t="inlineStr">
        <is>
          <t>全件</t>
        </is>
      </c>
      <c r="C31" s="14" t="inlineStr">
        <is>
          <t>未着手</t>
        </is>
      </c>
      <c r="D31" s="14" t="inlineStr">
        <is>
          <t>進行中</t>
        </is>
      </c>
      <c r="E31" s="14" t="inlineStr">
        <is>
          <t>完了</t>
        </is>
      </c>
      <c r="F31" s="14" t="inlineStr">
        <is>
          <t>対象外</t>
        </is>
      </c>
      <c r="G31" s="14" t="inlineStr">
        <is>
          <t>進捗率</t>
        </is>
      </c>
    </row>
    <row r="32">
      <c r="A32" s="10" t="inlineStr">
        <is>
          <t>②WBS</t>
        </is>
      </c>
      <c r="B32" s="15">
        <f>COUNTA('②WBS'!$Q$3:$Q$664)</f>
        <v/>
      </c>
      <c r="C32" s="15">
        <f>COUNTIF('②WBS'!$Q$3:$Q$664,"未着手")</f>
        <v/>
      </c>
      <c r="D32" s="15">
        <f>COUNTIF('②WBS'!$Q$3:$Q$664,"進行中")</f>
        <v/>
      </c>
      <c r="E32" s="15">
        <f>COUNTIF('②WBS'!$Q$3:$Q$664,"完了")</f>
        <v/>
      </c>
      <c r="F32" s="15">
        <f>COUNTIF('②WBS'!$Q$3:$Q$664,"対象外")</f>
        <v/>
      </c>
      <c r="G32" s="16">
        <f>IF(B32-F32=0,0,E32/(B32-F32))</f>
        <v/>
      </c>
    </row>
    <row r="33">
      <c r="A33" s="10" t="inlineStr">
        <is>
          <t>③リスク管理表</t>
        </is>
      </c>
      <c r="B33" s="15">
        <f>COUNTA('③リスク管理表'!$Q$3:$Q$133)</f>
        <v/>
      </c>
      <c r="C33" s="15">
        <f>COUNTIF('③リスク管理表'!$Q$3:$Q$133,"未着手")</f>
        <v/>
      </c>
      <c r="D33" s="15">
        <f>COUNTIF('③リスク管理表'!$Q$3:$Q$133,"進行中")</f>
        <v/>
      </c>
      <c r="E33" s="15">
        <f>COUNTIF('③リスク管理表'!$Q$3:$Q$133,"完了")</f>
        <v/>
      </c>
      <c r="F33" s="15">
        <f>COUNTIF('③リスク管理表'!$Q$3:$Q$133,"対象外")</f>
        <v/>
      </c>
      <c r="G33" s="16">
        <f>IF(B33-F33=0,0,E33/(B33-F33))</f>
        <v/>
      </c>
    </row>
    <row r="35">
      <c r="A35" s="3" t="inlineStr">
        <is>
          <t>■ 前提と注意</t>
        </is>
      </c>
    </row>
    <row r="36" ht="30" customHeight="1">
      <c r="A36" s="8" t="inlineStr">
        <is>
          <t>・フェーズの期間はあくまで標準モデル。特に妊活（P8）は個人差が大きく、数ヶ月〜数年の幅がある。①の黄色いセルを実態に合わせて書き換えて使う。</t>
        </is>
      </c>
    </row>
    <row r="37" ht="30" customHeight="1">
      <c r="A37" s="8" t="inlineStr">
        <is>
          <t>・妊活・妊娠の時期を後ろにずらすと、その後のフェーズも全部後ろにずれる。年齢と妊娠率の関係があるため、結婚式と妊活の順番は意識的に決める。</t>
        </is>
      </c>
    </row>
    <row r="38" ht="30" customHeight="1">
      <c r="A38" s="8" t="inlineStr">
        <is>
          <t>・費用は目安であり、地域・式場・産院・治療内容で大きく変わる。ご祝儀・親の援助・出産育児一時金50万円・児童手当・育児休業給付金は差し引く前の金額。</t>
        </is>
      </c>
    </row>
    <row r="39" ht="30" customHeight="1">
      <c r="A39" s="8" t="inlineStr">
        <is>
          <t>・制度は2026年8月時点。RSV母子免疫ワクチンの定期接種化（2026年4月〜）、こども誰でも通園制度（2026年4月〜）、出生後休業支援給付金、育児時短就業給付を反映。出産費用の保険適用化は2027〜2028年度の見込みのため、出産育児一時金50万円を前提にしている。</t>
        </is>
      </c>
    </row>
    <row r="40" ht="30" customHeight="1">
      <c r="A40" s="8" t="inlineStr">
        <is>
          <t>・助成の金額・回数・申請時期は自治体差が非常に大きい。必ず住んでいる市区町村の公式情報で確認すること。</t>
        </is>
      </c>
    </row>
    <row r="41" ht="30" customHeight="1">
      <c r="A41" s="8" t="inlineStr">
        <is>
          <t>・本表は計画テンプレートであり、医療上の助言ではない。健康・治療・接種の判断は主治医に、制度の適用可否は自治体・健保・勤務先・ハローワークに確認すること。</t>
        </is>
      </c>
    </row>
    <row r="42" ht="30" customHeight="1">
      <c r="A42" s="8" t="inlineStr">
        <is>
          <t>・商品・サービス名は2026年8月時点で一般に流通している選択肢の例であり、特定の推奨ではない。価格と仕様は必ず最新の情報を確認すること。</t>
        </is>
      </c>
    </row>
    <row r="43" ht="30" customHeight="1">
      <c r="A43" s="8" t="inlineStr">
        <is>
          <t>・③リスク管理表の確率・影響の初期値は一般的な想定値。2人の実感に合わせて必ず書き換えること。</t>
        </is>
      </c>
    </row>
  </sheetData>
  <mergeCells count="20">
    <mergeCell ref="A14:G14"/>
    <mergeCell ref="A17:G17"/>
    <mergeCell ref="C24:G24"/>
    <mergeCell ref="A38:G38"/>
    <mergeCell ref="A43:G43"/>
    <mergeCell ref="C20:G20"/>
    <mergeCell ref="A40:G40"/>
    <mergeCell ref="C10:G10"/>
    <mergeCell ref="A39:G39"/>
    <mergeCell ref="A15:G15"/>
    <mergeCell ref="C22:G22"/>
    <mergeCell ref="C9:G9"/>
    <mergeCell ref="A36:G36"/>
    <mergeCell ref="C21:G21"/>
    <mergeCell ref="C11:G11"/>
    <mergeCell ref="A16:G16"/>
    <mergeCell ref="C23:G23"/>
    <mergeCell ref="A41:G41"/>
    <mergeCell ref="A37:G37"/>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7"/>
  <sheetViews>
    <sheetView zoomScale="90" workbookViewId="0">
      <pane xSplit="14" ySplit="3" topLeftCell="O4"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6" customWidth="1" min="4" max="4"/>
    <col width="7" customWidth="1" min="5" max="5"/>
    <col width="7" customWidth="1" min="6" max="6"/>
    <col width="12" customWidth="1" min="7" max="7"/>
    <col width="12" customWidth="1" min="8" max="8"/>
    <col width="28" customWidth="1" min="9" max="9"/>
    <col width="44" customWidth="1" min="10" max="10"/>
    <col width="9" customWidth="1" min="11" max="11"/>
    <col width="9" customWidth="1" min="12" max="12"/>
    <col width="34" customWidth="1" min="13" max="13"/>
    <col width="9" customWidth="1" min="14" max="14"/>
    <col width="3" customWidth="1" min="15" max="15"/>
    <col width="3" customWidth="1" min="16" max="16"/>
    <col width="3" customWidth="1" min="17" max="17"/>
    <col width="3" customWidth="1" min="18" max="18"/>
    <col width="3" customWidth="1" min="19" max="19"/>
    <col width="3" customWidth="1" min="20" max="20"/>
    <col width="3" customWidth="1" min="21" max="21"/>
    <col width="3" customWidth="1" min="22" max="22"/>
    <col width="3" customWidth="1" min="23" max="23"/>
    <col width="3" customWidth="1" min="24" max="24"/>
    <col width="3" customWidth="1" min="25" max="25"/>
    <col width="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3" customWidth="1" min="38" max="38"/>
    <col width="3" customWidth="1" min="39" max="39"/>
    <col width="3" customWidth="1" min="40" max="40"/>
    <col width="3" customWidth="1" min="41" max="41"/>
    <col width="3" customWidth="1" min="42" max="42"/>
    <col width="3" customWidth="1" min="43" max="43"/>
    <col width="3" customWidth="1" min="44" max="44"/>
    <col width="3" customWidth="1" min="45" max="45"/>
    <col width="3" customWidth="1" min="46" max="46"/>
    <col width="3" customWidth="1" min="47" max="47"/>
    <col width="3" customWidth="1" min="48" max="48"/>
    <col width="3" customWidth="1" min="49" max="49"/>
    <col width="3" customWidth="1" min="50" max="50"/>
    <col width="3" customWidth="1" min="51" max="51"/>
    <col width="3" customWidth="1" min="52" max="52"/>
    <col width="3" customWidth="1" min="53" max="53"/>
    <col width="3" customWidth="1" min="54" max="54"/>
    <col width="3" customWidth="1" min="55" max="55"/>
    <col width="3" customWidth="1" min="56" max="56"/>
    <col width="3" customWidth="1" min="57" max="57"/>
    <col width="3" customWidth="1" min="58" max="58"/>
    <col width="3" customWidth="1" min="59" max="59"/>
    <col width="3" customWidth="1" min="60" max="60"/>
    <col width="3" customWidth="1" min="61" max="61"/>
    <col width="3" customWidth="1" min="62" max="62"/>
    <col width="3" customWidth="1" min="63" max="63"/>
  </cols>
  <sheetData>
    <row r="1" ht="24" customHeight="1">
      <c r="A1" s="17" t="inlineStr">
        <is>
          <t>① ロードマップ｜同棲 → 結婚 → 結婚式 → 妊活 → 出産 → 子1歳</t>
        </is>
      </c>
      <c r="E1" s="2" t="inlineStr">
        <is>
          <t>黄色のセルを書き換えると、日付とガントが自動で動きます</t>
        </is>
      </c>
    </row>
    <row r="2">
      <c r="N2" s="18" t="inlineStr">
        <is>
          <t>経過月 →</t>
        </is>
      </c>
      <c r="O2" s="19" t="n">
        <v>0</v>
      </c>
      <c r="P2" s="19" t="n">
        <v>1</v>
      </c>
      <c r="Q2" s="19" t="n">
        <v>2</v>
      </c>
      <c r="R2" s="19" t="n">
        <v>3</v>
      </c>
      <c r="S2" s="19" t="n">
        <v>4</v>
      </c>
      <c r="T2" s="19" t="n">
        <v>5</v>
      </c>
      <c r="U2" s="19" t="n">
        <v>6</v>
      </c>
      <c r="V2" s="19" t="n">
        <v>7</v>
      </c>
      <c r="W2" s="19" t="n">
        <v>8</v>
      </c>
      <c r="X2" s="19" t="n">
        <v>9</v>
      </c>
      <c r="Y2" s="19" t="n">
        <v>10</v>
      </c>
      <c r="Z2" s="19" t="n">
        <v>11</v>
      </c>
      <c r="AA2" s="19" t="n">
        <v>12</v>
      </c>
      <c r="AB2" s="19" t="n">
        <v>13</v>
      </c>
      <c r="AC2" s="19" t="n">
        <v>14</v>
      </c>
      <c r="AD2" s="19" t="n">
        <v>15</v>
      </c>
      <c r="AE2" s="19" t="n">
        <v>16</v>
      </c>
      <c r="AF2" s="19" t="n">
        <v>17</v>
      </c>
      <c r="AG2" s="19" t="n">
        <v>18</v>
      </c>
      <c r="AH2" s="19" t="n">
        <v>19</v>
      </c>
      <c r="AI2" s="19" t="n">
        <v>20</v>
      </c>
      <c r="AJ2" s="19" t="n">
        <v>21</v>
      </c>
      <c r="AK2" s="19" t="n">
        <v>22</v>
      </c>
      <c r="AL2" s="19" t="n">
        <v>23</v>
      </c>
      <c r="AM2" s="19" t="n">
        <v>24</v>
      </c>
      <c r="AN2" s="19" t="n">
        <v>25</v>
      </c>
      <c r="AO2" s="19" t="n">
        <v>26</v>
      </c>
      <c r="AP2" s="19" t="n">
        <v>27</v>
      </c>
      <c r="AQ2" s="19" t="n">
        <v>28</v>
      </c>
      <c r="AR2" s="19" t="n">
        <v>29</v>
      </c>
      <c r="AS2" s="19" t="n">
        <v>30</v>
      </c>
      <c r="AT2" s="19" t="n">
        <v>31</v>
      </c>
      <c r="AU2" s="19" t="n">
        <v>32</v>
      </c>
      <c r="AV2" s="19" t="n">
        <v>33</v>
      </c>
      <c r="AW2" s="19" t="n">
        <v>34</v>
      </c>
      <c r="AX2" s="19" t="n">
        <v>35</v>
      </c>
      <c r="AY2" s="19" t="n">
        <v>36</v>
      </c>
      <c r="AZ2" s="19" t="n">
        <v>37</v>
      </c>
      <c r="BA2" s="19" t="n">
        <v>38</v>
      </c>
      <c r="BB2" s="19" t="n">
        <v>39</v>
      </c>
      <c r="BC2" s="19" t="n">
        <v>40</v>
      </c>
      <c r="BD2" s="19" t="n">
        <v>41</v>
      </c>
      <c r="BE2" s="19" t="n">
        <v>42</v>
      </c>
      <c r="BF2" s="19" t="n">
        <v>43</v>
      </c>
      <c r="BG2" s="19" t="n">
        <v>44</v>
      </c>
      <c r="BH2" s="19" t="n">
        <v>45</v>
      </c>
      <c r="BI2" s="19" t="n">
        <v>46</v>
      </c>
      <c r="BJ2" s="19" t="n">
        <v>47</v>
      </c>
      <c r="BK2" s="19" t="n">
        <v>48</v>
      </c>
    </row>
    <row r="3" ht="36" customHeight="1">
      <c r="A3" s="20" t="inlineStr">
        <is>
          <t>ID</t>
        </is>
      </c>
      <c r="B3" s="20" t="inlineStr">
        <is>
          <t>フェーズ</t>
        </is>
      </c>
      <c r="C3" s="20" t="inlineStr">
        <is>
          <t>このフェーズのゴール（完了条件）</t>
        </is>
      </c>
      <c r="D3" s="20" t="inlineStr">
        <is>
          <t>期間
(月)</t>
        </is>
      </c>
      <c r="E3" s="20" t="inlineStr">
        <is>
          <t>開始
(経過月)</t>
        </is>
      </c>
      <c r="F3" s="20" t="inlineStr">
        <is>
          <t>終了
(経過月)</t>
        </is>
      </c>
      <c r="G3" s="20" t="inlineStr">
        <is>
          <t>予定開始</t>
        </is>
      </c>
      <c r="H3" s="20" t="inlineStr">
        <is>
          <t>予定完了</t>
        </is>
      </c>
      <c r="I3" s="20" t="inlineStr">
        <is>
          <t>主要マイルストーン</t>
        </is>
      </c>
      <c r="J3" s="20" t="inlineStr">
        <is>
          <t>このフェーズで決めること（意思決定）</t>
        </is>
      </c>
      <c r="K3" s="20" t="inlineStr">
        <is>
          <t>費用下限
(万円)</t>
        </is>
      </c>
      <c r="L3" s="20" t="inlineStr">
        <is>
          <t>費用上限
(万円)</t>
        </is>
      </c>
      <c r="M3" s="20" t="inlineStr">
        <is>
          <t>想定される最大リスク</t>
        </is>
      </c>
      <c r="N3" s="20" t="inlineStr">
        <is>
          <t>状態</t>
        </is>
      </c>
      <c r="O3" s="21">
        <f>EDATE('はじめに'!$C$5,O2)</f>
        <v/>
      </c>
      <c r="P3" s="21">
        <f>EDATE('はじめに'!$C$5,P2)</f>
        <v/>
      </c>
      <c r="Q3" s="21">
        <f>EDATE('はじめに'!$C$5,Q2)</f>
        <v/>
      </c>
      <c r="R3" s="21">
        <f>EDATE('はじめに'!$C$5,R2)</f>
        <v/>
      </c>
      <c r="S3" s="21">
        <f>EDATE('はじめに'!$C$5,S2)</f>
        <v/>
      </c>
      <c r="T3" s="21">
        <f>EDATE('はじめに'!$C$5,T2)</f>
        <v/>
      </c>
      <c r="U3" s="21">
        <f>EDATE('はじめに'!$C$5,U2)</f>
        <v/>
      </c>
      <c r="V3" s="21">
        <f>EDATE('はじめに'!$C$5,V2)</f>
        <v/>
      </c>
      <c r="W3" s="21">
        <f>EDATE('はじめに'!$C$5,W2)</f>
        <v/>
      </c>
      <c r="X3" s="21">
        <f>EDATE('はじめに'!$C$5,X2)</f>
        <v/>
      </c>
      <c r="Y3" s="21">
        <f>EDATE('はじめに'!$C$5,Y2)</f>
        <v/>
      </c>
      <c r="Z3" s="21">
        <f>EDATE('はじめに'!$C$5,Z2)</f>
        <v/>
      </c>
      <c r="AA3" s="21">
        <f>EDATE('はじめに'!$C$5,AA2)</f>
        <v/>
      </c>
      <c r="AB3" s="21">
        <f>EDATE('はじめに'!$C$5,AB2)</f>
        <v/>
      </c>
      <c r="AC3" s="21">
        <f>EDATE('はじめに'!$C$5,AC2)</f>
        <v/>
      </c>
      <c r="AD3" s="21">
        <f>EDATE('はじめに'!$C$5,AD2)</f>
        <v/>
      </c>
      <c r="AE3" s="21">
        <f>EDATE('はじめに'!$C$5,AE2)</f>
        <v/>
      </c>
      <c r="AF3" s="21">
        <f>EDATE('はじめに'!$C$5,AF2)</f>
        <v/>
      </c>
      <c r="AG3" s="21">
        <f>EDATE('はじめに'!$C$5,AG2)</f>
        <v/>
      </c>
      <c r="AH3" s="21">
        <f>EDATE('はじめに'!$C$5,AH2)</f>
        <v/>
      </c>
      <c r="AI3" s="21">
        <f>EDATE('はじめに'!$C$5,AI2)</f>
        <v/>
      </c>
      <c r="AJ3" s="21">
        <f>EDATE('はじめに'!$C$5,AJ2)</f>
        <v/>
      </c>
      <c r="AK3" s="21">
        <f>EDATE('はじめに'!$C$5,AK2)</f>
        <v/>
      </c>
      <c r="AL3" s="21">
        <f>EDATE('はじめに'!$C$5,AL2)</f>
        <v/>
      </c>
      <c r="AM3" s="21">
        <f>EDATE('はじめに'!$C$5,AM2)</f>
        <v/>
      </c>
      <c r="AN3" s="21">
        <f>EDATE('はじめに'!$C$5,AN2)</f>
        <v/>
      </c>
      <c r="AO3" s="21">
        <f>EDATE('はじめに'!$C$5,AO2)</f>
        <v/>
      </c>
      <c r="AP3" s="21">
        <f>EDATE('はじめに'!$C$5,AP2)</f>
        <v/>
      </c>
      <c r="AQ3" s="21">
        <f>EDATE('はじめに'!$C$5,AQ2)</f>
        <v/>
      </c>
      <c r="AR3" s="21">
        <f>EDATE('はじめに'!$C$5,AR2)</f>
        <v/>
      </c>
      <c r="AS3" s="21">
        <f>EDATE('はじめに'!$C$5,AS2)</f>
        <v/>
      </c>
      <c r="AT3" s="21">
        <f>EDATE('はじめに'!$C$5,AT2)</f>
        <v/>
      </c>
      <c r="AU3" s="21">
        <f>EDATE('はじめに'!$C$5,AU2)</f>
        <v/>
      </c>
      <c r="AV3" s="21">
        <f>EDATE('はじめに'!$C$5,AV2)</f>
        <v/>
      </c>
      <c r="AW3" s="21">
        <f>EDATE('はじめに'!$C$5,AW2)</f>
        <v/>
      </c>
      <c r="AX3" s="21">
        <f>EDATE('はじめに'!$C$5,AX2)</f>
        <v/>
      </c>
      <c r="AY3" s="21">
        <f>EDATE('はじめに'!$C$5,AY2)</f>
        <v/>
      </c>
      <c r="AZ3" s="21">
        <f>EDATE('はじめに'!$C$5,AZ2)</f>
        <v/>
      </c>
      <c r="BA3" s="21">
        <f>EDATE('はじめに'!$C$5,BA2)</f>
        <v/>
      </c>
      <c r="BB3" s="21">
        <f>EDATE('はじめに'!$C$5,BB2)</f>
        <v/>
      </c>
      <c r="BC3" s="21">
        <f>EDATE('はじめに'!$C$5,BC2)</f>
        <v/>
      </c>
      <c r="BD3" s="21">
        <f>EDATE('はじめに'!$C$5,BD2)</f>
        <v/>
      </c>
      <c r="BE3" s="21">
        <f>EDATE('はじめに'!$C$5,BE2)</f>
        <v/>
      </c>
      <c r="BF3" s="21">
        <f>EDATE('はじめに'!$C$5,BF2)</f>
        <v/>
      </c>
      <c r="BG3" s="21">
        <f>EDATE('はじめに'!$C$5,BG2)</f>
        <v/>
      </c>
      <c r="BH3" s="21">
        <f>EDATE('はじめに'!$C$5,BH2)</f>
        <v/>
      </c>
      <c r="BI3" s="21">
        <f>EDATE('はじめに'!$C$5,BI2)</f>
        <v/>
      </c>
      <c r="BJ3" s="21">
        <f>EDATE('はじめに'!$C$5,BJ2)</f>
        <v/>
      </c>
      <c r="BK3" s="21">
        <f>EDATE('はじめに'!$C$5,BK2)</f>
        <v/>
      </c>
    </row>
    <row r="4" ht="58" customHeight="1">
      <c r="A4" s="22" t="inlineStr">
        <is>
          <t>P1</t>
        </is>
      </c>
      <c r="B4" s="23" t="inlineStr">
        <is>
          <t>同棲の準備</t>
        </is>
      </c>
      <c r="C4" s="24" t="inlineStr">
        <is>
          <t>2人が同じ家に住み、生活費と家事のルールが決まっている状態</t>
        </is>
      </c>
      <c r="D4" s="25" t="n">
        <v>3</v>
      </c>
      <c r="E4" s="25" t="n">
        <v>0</v>
      </c>
      <c r="F4" s="26">
        <f>E4+D4-1</f>
        <v/>
      </c>
      <c r="G4" s="27">
        <f>EDATE('はじめに'!$C$5,E4)</f>
        <v/>
      </c>
      <c r="H4" s="27">
        <f>EDATE('はじめに'!$C$5,F4)</f>
        <v/>
      </c>
      <c r="I4" s="24" t="inlineStr">
        <is>
          <t>物件契約／引越し／住民票異動／家事分担表の完成</t>
        </is>
      </c>
      <c r="J4" s="24" t="inlineStr">
        <is>
          <t>どのエリアに住むか（将来の保活を見越すか）／生活費の分担方式／同棲の期限（いつまでに結婚するか）</t>
        </is>
      </c>
      <c r="K4" s="25" t="n">
        <v>40</v>
      </c>
      <c r="L4" s="25" t="n">
        <v>90</v>
      </c>
      <c r="M4" s="24" t="inlineStr">
        <is>
          <t>エリア選定を「今の通勤」だけで決めて、出産後に住み替えが必要になる</t>
        </is>
      </c>
      <c r="N4" s="28" t="inlineStr">
        <is>
          <t>未着手</t>
        </is>
      </c>
    </row>
    <row r="5" ht="58" customHeight="1">
      <c r="A5" s="22" t="inlineStr">
        <is>
          <t>P2</t>
        </is>
      </c>
      <c r="B5" s="23" t="inlineStr">
        <is>
          <t>同棲生活の基盤づくり</t>
        </is>
      </c>
      <c r="C5" s="24" t="inlineStr">
        <is>
          <t>家事・お金・話し合いの型ができ、貯蓄が回り始めている状態</t>
        </is>
      </c>
      <c r="D5" s="25" t="n">
        <v>6</v>
      </c>
      <c r="E5" s="25" t="n">
        <v>3</v>
      </c>
      <c r="F5" s="26">
        <f>E5+D5-1</f>
        <v/>
      </c>
      <c r="G5" s="27">
        <f>EDATE('はじめに'!$C$5,E5)</f>
        <v/>
      </c>
      <c r="H5" s="27">
        <f>EDATE('はじめに'!$C$5,F5)</f>
        <v/>
      </c>
      <c r="I5" s="24" t="inlineStr">
        <is>
          <t>家計の可視化／貯蓄目標の設定／週次ミーティングの定着</t>
        </is>
      </c>
      <c r="J5" s="24" t="inlineStr">
        <is>
          <t>共通口座に毎月いくら入れるか／各自の自由に使える額／家事の分担比率</t>
        </is>
      </c>
      <c r="K5" s="25" t="n">
        <v>0</v>
      </c>
      <c r="L5" s="25" t="n">
        <v>10</v>
      </c>
      <c r="M5" s="24" t="inlineStr">
        <is>
          <t>家事分担の不公平感が言語化されないまま蓄積する</t>
        </is>
      </c>
      <c r="N5" s="28" t="inlineStr">
        <is>
          <t>未着手</t>
        </is>
      </c>
    </row>
    <row r="6" ht="58" customHeight="1">
      <c r="A6" s="22" t="inlineStr">
        <is>
          <t>P3</t>
        </is>
      </c>
      <c r="B6" s="23" t="inlineStr">
        <is>
          <t>結婚の意思決定・両家</t>
        </is>
      </c>
      <c r="C6" s="24" t="inlineStr">
        <is>
          <t>両家の合意が取れ、入籍日と式の方針が決まっている状態</t>
        </is>
      </c>
      <c r="D6" s="25" t="n">
        <v>3</v>
      </c>
      <c r="E6" s="25" t="n">
        <v>9</v>
      </c>
      <c r="F6" s="26">
        <f>E6+D6-1</f>
        <v/>
      </c>
      <c r="G6" s="27">
        <f>EDATE('はじめに'!$C$5,E6)</f>
        <v/>
      </c>
      <c r="H6" s="27">
        <f>EDATE('はじめに'!$C$5,F6)</f>
        <v/>
      </c>
      <c r="I6" s="24" t="inlineStr">
        <is>
          <t>プロポーズ／両家挨拶／顔合わせ or 結納</t>
        </is>
      </c>
      <c r="J6" s="24" t="inlineStr">
        <is>
          <t>結婚式をやるか（挙式のみ／披露宴／家族婚／フォトのみ／ナシ婚）／姓をどちらにするか／婚約指輪の要否と予算</t>
        </is>
      </c>
      <c r="K6" s="25" t="n">
        <v>20</v>
      </c>
      <c r="L6" s="25" t="n">
        <v>120</v>
      </c>
      <c r="M6" s="24" t="inlineStr">
        <is>
          <t>式の規模と費用、両家の慣習の違いで対立する</t>
        </is>
      </c>
      <c r="N6" s="28" t="inlineStr">
        <is>
          <t>未着手</t>
        </is>
      </c>
    </row>
    <row r="7" ht="58" customHeight="1">
      <c r="A7" s="22" t="inlineStr">
        <is>
          <t>P4</t>
        </is>
      </c>
      <c r="B7" s="23" t="inlineStr">
        <is>
          <t>入籍・行政手続き</t>
        </is>
      </c>
      <c r="C7" s="24" t="inlineStr">
        <is>
          <t>婚姻届が受理され、全ての名義変更が完了した状態</t>
        </is>
      </c>
      <c r="D7" s="25" t="n">
        <v>2</v>
      </c>
      <c r="E7" s="25" t="n">
        <v>12</v>
      </c>
      <c r="F7" s="26">
        <f>E7+D7-1</f>
        <v/>
      </c>
      <c r="G7" s="27">
        <f>EDATE('はじめに'!$C$5,E7)</f>
        <v/>
      </c>
      <c r="H7" s="27">
        <f>EDATE('はじめに'!$C$5,F7)</f>
        <v/>
      </c>
      <c r="I7" s="24" t="inlineStr">
        <is>
          <t>婚姻届提出／各種名義変更の完了</t>
        </is>
      </c>
      <c r="J7" s="24" t="inlineStr">
        <is>
          <t>入籍日／世帯の持ち方／保険の受取人／旧姓の通称使用をするか</t>
        </is>
      </c>
      <c r="K7" s="25" t="n">
        <v>3</v>
      </c>
      <c r="L7" s="25" t="n">
        <v>10</v>
      </c>
      <c r="M7" s="24" t="inlineStr">
        <is>
          <t>改姓した側に名義変更の実務が全部乗る</t>
        </is>
      </c>
      <c r="N7" s="28" t="inlineStr">
        <is>
          <t>未着手</t>
        </is>
      </c>
    </row>
    <row r="8" ht="58" customHeight="1">
      <c r="A8" s="22" t="inlineStr">
        <is>
          <t>P5</t>
        </is>
      </c>
      <c r="B8" s="23" t="inlineStr">
        <is>
          <t>結婚式の準備</t>
        </is>
      </c>
      <c r="C8" s="24" t="inlineStr">
        <is>
          <t>会場・衣装・招待客・演出が確定し、支払い計画がある状態</t>
        </is>
      </c>
      <c r="D8" s="25" t="n">
        <v>9</v>
      </c>
      <c r="E8" s="25" t="n">
        <v>12</v>
      </c>
      <c r="F8" s="26">
        <f>E8+D8-1</f>
        <v/>
      </c>
      <c r="G8" s="27">
        <f>EDATE('はじめに'!$C$5,E8)</f>
        <v/>
      </c>
      <c r="H8" s="27">
        <f>EDATE('はじめに'!$C$5,F8)</f>
        <v/>
      </c>
      <c r="I8" s="24" t="inlineStr">
        <is>
          <t>会場成約／招待状発送／最終打ち合わせ</t>
        </is>
      </c>
      <c r="J8" s="24" t="inlineStr">
        <is>
          <t>会場（持ち込み料・見積の増減）／招待客リスト／衣装は提携か持ち込みか／写真映像を外注するか</t>
        </is>
      </c>
      <c r="K8" s="25" t="n">
        <v>150</v>
      </c>
      <c r="L8" s="25" t="n">
        <v>400</v>
      </c>
      <c r="M8" s="24" t="inlineStr">
        <is>
          <t>初回見積から100万円以上増える／準備が片方に偏る</t>
        </is>
      </c>
      <c r="N8" s="28" t="inlineStr">
        <is>
          <t>未着手</t>
        </is>
      </c>
    </row>
    <row r="9" ht="58" customHeight="1">
      <c r="A9" s="22" t="inlineStr">
        <is>
          <t>P6</t>
        </is>
      </c>
      <c r="B9" s="23" t="inlineStr">
        <is>
          <t>結婚式・新婚旅行</t>
        </is>
      </c>
      <c r="C9" s="24" t="inlineStr">
        <is>
          <t>式が終わり、内祝いと精算まで完了した状態</t>
        </is>
      </c>
      <c r="D9" s="25" t="n">
        <v>1</v>
      </c>
      <c r="E9" s="25" t="n">
        <v>21</v>
      </c>
      <c r="F9" s="26">
        <f>E9+D9-1</f>
        <v/>
      </c>
      <c r="G9" s="27">
        <f>EDATE('はじめに'!$C$5,E9)</f>
        <v/>
      </c>
      <c r="H9" s="27">
        <f>EDATE('はじめに'!$C$5,F9)</f>
        <v/>
      </c>
      <c r="I9" s="24" t="inlineStr">
        <is>
          <t>挙式・披露宴／新婚旅行／お礼と精算</t>
        </is>
      </c>
      <c r="J9" s="24" t="inlineStr">
        <is>
          <t>新婚旅行の時期（妊活とどちらを先にするか）／渡航先（感染症リスク地域を避ける）</t>
        </is>
      </c>
      <c r="K9" s="25" t="n">
        <v>40</v>
      </c>
      <c r="L9" s="25" t="n">
        <v>120</v>
      </c>
      <c r="M9" s="24" t="inlineStr">
        <is>
          <t>旅行と妊活・妊娠が重なり渡航できない</t>
        </is>
      </c>
      <c r="N9" s="28" t="inlineStr">
        <is>
          <t>未着手</t>
        </is>
      </c>
    </row>
    <row r="10" ht="58" customHeight="1">
      <c r="A10" s="22" t="inlineStr">
        <is>
          <t>P7</t>
        </is>
      </c>
      <c r="B10" s="23" t="inlineStr">
        <is>
          <t>妊活の準備</t>
        </is>
      </c>
      <c r="C10" s="24" t="inlineStr">
        <is>
          <t>2人とも検査を終え、妊娠しやすい体と生活の準備ができた状態</t>
        </is>
      </c>
      <c r="D10" s="25" t="n">
        <v>4</v>
      </c>
      <c r="E10" s="25" t="n">
        <v>18</v>
      </c>
      <c r="F10" s="26">
        <f>E10+D10-1</f>
        <v/>
      </c>
      <c r="G10" s="27">
        <f>EDATE('はじめに'!$C$5,E10)</f>
        <v/>
      </c>
      <c r="H10" s="27">
        <f>EDATE('はじめに'!$C$5,F10)</f>
        <v/>
      </c>
      <c r="I10" s="24" t="inlineStr">
        <is>
          <t>ブライダルチェック／精液検査／風疹抗体／葉酸開始</t>
        </is>
      </c>
      <c r="J10" s="24" t="inlineStr">
        <is>
          <t>検査をどこで受けるか／何ヶ月で受診に切り替えるか／不妊治療をどこまでやるか（費用と期限）</t>
        </is>
      </c>
      <c r="K10" s="25" t="n">
        <v>3</v>
      </c>
      <c r="L10" s="25" t="n">
        <v>15</v>
      </c>
      <c r="M10" s="24" t="inlineStr">
        <is>
          <t>男性側が検査を受けず、当事者意識に差が出る</t>
        </is>
      </c>
      <c r="N10" s="28" t="inlineStr">
        <is>
          <t>未着手</t>
        </is>
      </c>
    </row>
    <row r="11" ht="58" customHeight="1">
      <c r="A11" s="22" t="inlineStr">
        <is>
          <t>P8</t>
        </is>
      </c>
      <c r="B11" s="23" t="inlineStr">
        <is>
          <t>妊活</t>
        </is>
      </c>
      <c r="C11" s="24" t="inlineStr">
        <is>
          <t>妊娠が判明している状態</t>
        </is>
      </c>
      <c r="D11" s="25" t="n">
        <v>6</v>
      </c>
      <c r="E11" s="25" t="n">
        <v>22</v>
      </c>
      <c r="F11" s="26">
        <f>E11+D11-1</f>
        <v/>
      </c>
      <c r="G11" s="27">
        <f>EDATE('はじめに'!$C$5,E11)</f>
        <v/>
      </c>
      <c r="H11" s="27">
        <f>EDATE('はじめに'!$C$5,F11)</f>
        <v/>
      </c>
      <c r="I11" s="24" t="inlineStr">
        <is>
          <t>タイミング法／必要ならクリニック受診・AIH・IVF</t>
        </is>
      </c>
      <c r="J11" s="24" t="inlineStr">
        <is>
          <t>クリニックの選定／人工授精・体外受精へ進む条件／治療費の上限と「やめどき」</t>
        </is>
      </c>
      <c r="K11" s="25" t="n">
        <v>0</v>
      </c>
      <c r="L11" s="25" t="n">
        <v>200</v>
      </c>
      <c r="M11" s="24" t="inlineStr">
        <is>
          <t>義務化した性交渉・費用・やめどきで関係が消耗する</t>
        </is>
      </c>
      <c r="N11" s="28" t="inlineStr">
        <is>
          <t>未着手</t>
        </is>
      </c>
    </row>
    <row r="12" ht="58" customHeight="1">
      <c r="A12" s="22" t="inlineStr">
        <is>
          <t>P9</t>
        </is>
      </c>
      <c r="B12" s="23" t="inlineStr">
        <is>
          <t>妊娠初期〜中期</t>
        </is>
      </c>
      <c r="C12" s="24" t="inlineStr">
        <is>
          <t>母子手帳を取得し、産院と出生前検査の方針が決まっている状態</t>
        </is>
      </c>
      <c r="D12" s="25" t="n">
        <v>6</v>
      </c>
      <c r="E12" s="25" t="n">
        <v>28</v>
      </c>
      <c r="F12" s="26">
        <f>E12+D12-1</f>
        <v/>
      </c>
      <c r="G12" s="27">
        <f>EDATE('はじめに'!$C$5,E12)</f>
        <v/>
      </c>
      <c r="H12" s="27">
        <f>EDATE('はじめに'!$C$5,F12)</f>
        <v/>
      </c>
      <c r="I12" s="24" t="inlineStr">
        <is>
          <t>心拍確認／母子手帳／分娩予約／両親学級／保育園見学</t>
        </is>
      </c>
      <c r="J12" s="24" t="inlineStr">
        <is>
          <t>産院（総合病院／クリニック／助産院・無痛の有無）／出生前検査を受けるか／里帰りするか／保活を見越した引っ越しの要否</t>
        </is>
      </c>
      <c r="K12" s="25" t="n">
        <v>5</v>
      </c>
      <c r="L12" s="25" t="n">
        <v>25</v>
      </c>
      <c r="M12" s="24" t="inlineStr">
        <is>
          <t>出生前検査の是非で価値観が衝突する</t>
        </is>
      </c>
      <c r="N12" s="28" t="inlineStr">
        <is>
          <t>未着手</t>
        </is>
      </c>
    </row>
    <row r="13" ht="58" customHeight="1">
      <c r="A13" s="22" t="inlineStr">
        <is>
          <t>P10</t>
        </is>
      </c>
      <c r="B13" s="23" t="inlineStr">
        <is>
          <t>妊娠後期・出産準備</t>
        </is>
      </c>
      <c r="C13" s="24" t="inlineStr">
        <is>
          <t>入院バッグ・育児用品・産後の体制が全て整っている状態</t>
        </is>
      </c>
      <c r="D13" s="25" t="n">
        <v>3</v>
      </c>
      <c r="E13" s="25" t="n">
        <v>34</v>
      </c>
      <c r="F13" s="26">
        <f>E13+D13-1</f>
        <v/>
      </c>
      <c r="G13" s="27">
        <f>EDATE('はじめに'!$C$5,E13)</f>
        <v/>
      </c>
      <c r="H13" s="27">
        <f>EDATE('はじめに'!$C$5,F13)</f>
        <v/>
      </c>
      <c r="I13" s="24" t="inlineStr">
        <is>
          <t>RSVワクチン／入院バッグ／育児用品購入／産休開始／父の育休申出</t>
        </is>
      </c>
      <c r="J13" s="24" t="inlineStr">
        <is>
          <t>ベビーカー・チャイルドシート・抱っこ紐のメーカー／おむつ・ミルクの銘柄／産後の家事外注／父の育休の取り方</t>
        </is>
      </c>
      <c r="K13" s="25" t="n">
        <v>20</v>
      </c>
      <c r="L13" s="25" t="n">
        <v>50</v>
      </c>
      <c r="M13" s="24" t="inlineStr">
        <is>
          <t>産後の生活設計をせずに出産日を迎える</t>
        </is>
      </c>
      <c r="N13" s="28" t="inlineStr">
        <is>
          <t>未着手</t>
        </is>
      </c>
    </row>
    <row r="14" ht="58" customHeight="1">
      <c r="A14" s="22" t="inlineStr">
        <is>
          <t>P11</t>
        </is>
      </c>
      <c r="B14" s="23" t="inlineStr">
        <is>
          <t>出産・産褥期</t>
        </is>
      </c>
      <c r="C14" s="24" t="inlineStr">
        <is>
          <t>行政手続きが全て終わり、母体が回復に向かっている状態</t>
        </is>
      </c>
      <c r="D14" s="25" t="n">
        <v>2</v>
      </c>
      <c r="E14" s="25" t="n">
        <v>37</v>
      </c>
      <c r="F14" s="26">
        <f>E14+D14-1</f>
        <v/>
      </c>
      <c r="G14" s="27">
        <f>EDATE('はじめに'!$C$5,E14)</f>
        <v/>
      </c>
      <c r="H14" s="27">
        <f>EDATE('はじめに'!$C$5,F14)</f>
        <v/>
      </c>
      <c r="I14" s="24" t="inlineStr">
        <is>
          <t>出産／出生届・児童手当・保険証／新生児訪問／2週間健診</t>
        </is>
      </c>
      <c r="J14" s="24" t="inlineStr">
        <is>
          <t>誰がどの手続きをやるか／義実家の来訪ルール／夜間対応の分担</t>
        </is>
      </c>
      <c r="K14" s="25" t="n">
        <v>10</v>
      </c>
      <c r="L14" s="25" t="n">
        <v>40</v>
      </c>
      <c r="M14" s="24" t="inlineStr">
        <is>
          <t>産後の身体的ダメージが理解されず、母が休めない</t>
        </is>
      </c>
      <c r="N14" s="28" t="inlineStr">
        <is>
          <t>未着手</t>
        </is>
      </c>
    </row>
    <row r="15" ht="58" customHeight="1">
      <c r="A15" s="22" t="inlineStr">
        <is>
          <t>P12</t>
        </is>
      </c>
      <c r="B15" s="23" t="inlineStr">
        <is>
          <t>育児 生後2〜6ヶ月</t>
        </is>
      </c>
      <c r="C15" s="24" t="inlineStr">
        <is>
          <t>予防接種が予定通り進み、離乳食が始まっている状態</t>
        </is>
      </c>
      <c r="D15" s="25" t="n">
        <v>4</v>
      </c>
      <c r="E15" s="25" t="n">
        <v>39</v>
      </c>
      <c r="F15" s="26">
        <f>E15+D15-1</f>
        <v/>
      </c>
      <c r="G15" s="27">
        <f>EDATE('はじめに'!$C$5,E15)</f>
        <v/>
      </c>
      <c r="H15" s="27">
        <f>EDATE('はじめに'!$C$5,F15)</f>
        <v/>
      </c>
      <c r="I15" s="24" t="inlineStr">
        <is>
          <t>1ヶ月健診／予防接種デビュー／3-4ヶ月健診／BCG／離乳食開始</t>
        </is>
      </c>
      <c r="J15" s="24" t="inlineStr">
        <is>
          <t>かかりつけ小児科／離乳食のメーカーと進め方／ハイチェアなどの選定／復職の時期</t>
        </is>
      </c>
      <c r="K15" s="25" t="n">
        <v>10</v>
      </c>
      <c r="L15" s="25" t="n">
        <v>25</v>
      </c>
      <c r="M15" s="24" t="inlineStr">
        <is>
          <t>睡眠不足による攻撃性と、産後うつの見落とし</t>
        </is>
      </c>
      <c r="N15" s="28" t="inlineStr">
        <is>
          <t>未着手</t>
        </is>
      </c>
    </row>
    <row r="16" ht="58" customHeight="1">
      <c r="A16" s="22" t="inlineStr">
        <is>
          <t>P13</t>
        </is>
      </c>
      <c r="B16" s="23" t="inlineStr">
        <is>
          <t>育児 生後6〜12ヶ月</t>
        </is>
      </c>
      <c r="C16" s="24" t="inlineStr">
        <is>
          <t>保育園が決まり、復職後の生活が回っている状態</t>
        </is>
      </c>
      <c r="D16" s="25" t="n">
        <v>6</v>
      </c>
      <c r="E16" s="25" t="n">
        <v>43</v>
      </c>
      <c r="F16" s="26">
        <f>E16+D16-1</f>
        <v/>
      </c>
      <c r="G16" s="27">
        <f>EDATE('はじめに'!$C$5,E16)</f>
        <v/>
      </c>
      <c r="H16" s="27">
        <f>EDATE('はじめに'!$C$5,F16)</f>
        <v/>
      </c>
      <c r="I16" s="24" t="inlineStr">
        <is>
          <t>保育園申込／9-10ヶ月健診／慣らし保育／1歳／復職</t>
        </is>
      </c>
      <c r="J16" s="24" t="inlineStr">
        <is>
          <t>認可・認可外の併願戦略／育休を延長するか／復職後の家事育児の再分担／教育資金の置き場所</t>
        </is>
      </c>
      <c r="K16" s="25" t="n">
        <v>10</v>
      </c>
      <c r="L16" s="25" t="n">
        <v>30</v>
      </c>
      <c r="M16" s="24" t="inlineStr">
        <is>
          <t>保活と復職後の負担配分が片方に集中する</t>
        </is>
      </c>
      <c r="N16" s="28" t="inlineStr">
        <is>
          <t>未着手</t>
        </is>
      </c>
    </row>
    <row r="17">
      <c r="A17" s="29" t="n"/>
      <c r="B17" s="30" t="inlineStr">
        <is>
          <t>合計</t>
        </is>
      </c>
      <c r="C17" s="29" t="n"/>
      <c r="D17" s="29" t="n"/>
      <c r="E17" s="29" t="n"/>
      <c r="F17" s="29" t="n"/>
      <c r="G17" s="29" t="n"/>
      <c r="H17" s="29" t="n"/>
      <c r="I17" s="29" t="n"/>
      <c r="J17" s="29" t="n"/>
      <c r="K17" s="31">
        <f>SUM(K4:K16)</f>
        <v/>
      </c>
      <c r="L17" s="31">
        <f>SUM(L4:L16)</f>
        <v/>
      </c>
      <c r="M17" s="32" t="inlineStr">
        <is>
          <t>※ ご祝儀・親からの援助・各種給付金は差し引く前の総額</t>
        </is>
      </c>
      <c r="N17" s="29" t="n"/>
    </row>
  </sheetData>
  <autoFilter ref="A3:N16"/>
  <conditionalFormatting sqref="O4:BK11">
    <cfRule type="expression" priority="1" dxfId="0" stopIfTrue="1">
      <formula>AND(O$2&gt;=$E4,O$2&lt;=$F4)</formula>
    </cfRule>
  </conditionalFormatting>
  <conditionalFormatting sqref="O4:BK16">
    <cfRule type="expression" priority="2" dxfId="1" stopIfTrue="1">
      <formula>AND(O$2&gt;=$E4,O$2&lt;=$F4)</formula>
    </cfRule>
  </conditionalFormatting>
  <conditionalFormatting sqref="N4:N16">
    <cfRule type="cellIs" priority="3" operator="equal" dxfId="2">
      <formula>"完了"</formula>
    </cfRule>
    <cfRule type="cellIs" priority="4" operator="equal" dxfId="3">
      <formula>"進行中"</formula>
    </cfRule>
    <cfRule type="cellIs" priority="5" operator="equal" dxfId="4">
      <formula>"対象外"</formula>
    </cfRule>
  </conditionalFormatting>
  <dataValidations count="1">
    <dataValidation sqref="N4:N16" showDropDown="0" showInputMessage="0" showErrorMessage="0" allowBlank="1" type="list">
      <formula1>"未着手,進行中,完了,対象外"</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1"/>
    <pageSetUpPr/>
  </sheetPr>
  <dimension ref="A1:R664"/>
  <sheetViews>
    <sheetView zoomScale="85" workbookViewId="0">
      <pane xSplit="5" ySplit="2" topLeftCell="F3"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9" customWidth="1" min="3" max="3"/>
    <col width="4" customWidth="1" min="4" max="4"/>
    <col width="44" customWidth="1" min="5" max="5"/>
    <col width="34" customWidth="1" min="6" max="6"/>
    <col width="26" customWidth="1" min="7" max="7"/>
    <col width="50" customWidth="1" min="8" max="8"/>
    <col width="54" customWidth="1" min="9" max="9"/>
    <col width="6" customWidth="1" min="10" max="10"/>
    <col width="10" customWidth="1" min="11" max="11"/>
    <col width="7" customWidth="1" min="12" max="12"/>
    <col width="13" customWidth="1" min="13" max="13"/>
    <col width="8" customWidth="1" min="14" max="14"/>
    <col width="14" customWidth="1" min="15" max="15"/>
    <col width="22" customWidth="1" min="16" max="16"/>
    <col width="9" customWidth="1" min="17" max="17"/>
    <col width="20" customWidth="1" min="18" max="18"/>
  </cols>
  <sheetData>
    <row r="1" ht="24" customHeight="1">
      <c r="A1" s="17" t="inlineStr">
        <is>
          <t>② WBS｜想定される論点まで分解したタスク一覧</t>
        </is>
      </c>
      <c r="E1" s="2" t="inlineStr">
        <is>
          <t>濃い行＝タスク／薄い行＝その中の実行ステップ。左の＋−で折りたためます</t>
        </is>
      </c>
    </row>
    <row r="2" ht="36" customHeight="1">
      <c r="A2" s="20" t="inlineStr">
        <is>
          <t>WBS-ID</t>
        </is>
      </c>
      <c r="B2" s="20" t="inlineStr">
        <is>
          <t>フェーズ</t>
        </is>
      </c>
      <c r="C2" s="20" t="inlineStr">
        <is>
          <t>中分類</t>
        </is>
      </c>
      <c r="D2" s="20" t="inlineStr">
        <is>
          <t>Lv</t>
        </is>
      </c>
      <c r="E2" s="20" t="inlineStr">
        <is>
          <t>タスク／実行ステップ</t>
        </is>
      </c>
      <c r="F2" s="20" t="inlineStr">
        <is>
          <t>完了の定義（これができたら完了）</t>
        </is>
      </c>
      <c r="G2" s="20" t="inlineStr">
        <is>
          <t>論点・決めること</t>
        </is>
      </c>
      <c r="H2" s="20" t="inlineStr">
        <is>
          <t>選択肢・候補</t>
        </is>
      </c>
      <c r="I2" s="20" t="inlineStr">
        <is>
          <t>判断軸・注意点</t>
        </is>
      </c>
      <c r="J2" s="20" t="inlineStr">
        <is>
          <t>経過
月</t>
        </is>
      </c>
      <c r="K2" s="20" t="inlineStr">
        <is>
          <t>目安時期</t>
        </is>
      </c>
      <c r="L2" s="20" t="inlineStr">
        <is>
          <t>区分</t>
        </is>
      </c>
      <c r="M2" s="20" t="inlineStr">
        <is>
          <t>担当</t>
        </is>
      </c>
      <c r="N2" s="20" t="inlineStr">
        <is>
          <t>所要
目安</t>
        </is>
      </c>
      <c r="O2" s="20" t="inlineStr">
        <is>
          <t>費用目安</t>
        </is>
      </c>
      <c r="P2" s="20" t="inlineStr">
        <is>
          <t>先行して終わっていること</t>
        </is>
      </c>
      <c r="Q2" s="20" t="inlineStr">
        <is>
          <t>状態</t>
        </is>
      </c>
      <c r="R2" s="20" t="inlineStr">
        <is>
          <t>メモ</t>
        </is>
      </c>
    </row>
    <row r="3">
      <c r="A3" s="33" t="inlineStr">
        <is>
          <t>P1-01</t>
        </is>
      </c>
      <c r="B3" s="33" t="inlineStr">
        <is>
          <t>P1</t>
        </is>
      </c>
      <c r="C3" s="34" t="inlineStr">
        <is>
          <t>方針</t>
        </is>
      </c>
      <c r="D3" s="33" t="n">
        <v>2</v>
      </c>
      <c r="E3" s="35" t="inlineStr">
        <is>
          <t>同棲の目的と期限を合意する</t>
        </is>
      </c>
      <c r="F3" s="36" t="inlineStr">
        <is>
          <t>「いつまでに結婚するか」が日付で書かれ、2人が見られる場所にある</t>
        </is>
      </c>
      <c r="G3" s="36" t="inlineStr">
        <is>
          <t>何のために同棲するのか／いつまでに結論を出すか</t>
        </is>
      </c>
      <c r="H3" s="36" t="inlineStr">
        <is>
          <t>お試し期間として／結婚前提で生活費を抑える／すでに結婚が決まっている</t>
        </is>
      </c>
      <c r="I3" s="36" t="inlineStr">
        <is>
          <t>期限を切らない同棲は「なんとなく長期化」しやすい。1〜2年で結論を出す前提にする</t>
        </is>
      </c>
      <c r="J3" s="33" t="n">
        <v>0</v>
      </c>
      <c r="K3" s="37">
        <f>EDATE('はじめに'!$C$5,J3)</f>
        <v/>
      </c>
      <c r="L3" s="33" t="inlineStr">
        <is>
          <t>推奨</t>
        </is>
      </c>
      <c r="M3" s="33" t="inlineStr">
        <is>
          <t>2人</t>
        </is>
      </c>
      <c r="N3" s="33" t="inlineStr">
        <is>
          <t>2時間</t>
        </is>
      </c>
      <c r="O3" s="36" t="inlineStr"/>
      <c r="P3" s="36" t="inlineStr"/>
      <c r="Q3" s="38" t="inlineStr">
        <is>
          <t>未着手</t>
        </is>
      </c>
      <c r="R3" s="28" t="inlineStr"/>
    </row>
    <row r="4" outlineLevel="1">
      <c r="A4" s="39" t="inlineStr">
        <is>
          <t>P1-01-01</t>
        </is>
      </c>
      <c r="B4" s="39" t="inlineStr">
        <is>
          <t>P1</t>
        </is>
      </c>
      <c r="C4" s="22" t="inlineStr">
        <is>
          <t>方針</t>
        </is>
      </c>
      <c r="D4" s="39" t="n">
        <v>3</v>
      </c>
      <c r="E4" s="40" t="inlineStr">
        <is>
          <t>各自が「同棲に期待すること」「不安なこと」を5つずつ書き出して交換する</t>
        </is>
      </c>
      <c r="F4" s="24" t="inlineStr">
        <is>
          <t>10項目ずつのリストが揃っている</t>
        </is>
      </c>
      <c r="G4" s="24" t="inlineStr"/>
      <c r="H4" s="24" t="inlineStr"/>
      <c r="I4" s="24" t="inlineStr"/>
      <c r="J4" s="39" t="n">
        <v>0</v>
      </c>
      <c r="K4" s="41">
        <f>EDATE('はじめに'!$C$5,J4)</f>
        <v/>
      </c>
      <c r="L4" s="39" t="inlineStr">
        <is>
          <t>推奨</t>
        </is>
      </c>
      <c r="M4" s="39" t="inlineStr">
        <is>
          <t>2人</t>
        </is>
      </c>
      <c r="N4" s="39" t="inlineStr">
        <is>
          <t>30分</t>
        </is>
      </c>
      <c r="O4" s="24" t="inlineStr"/>
      <c r="P4" s="24" t="inlineStr"/>
      <c r="Q4" s="38" t="inlineStr">
        <is>
          <t>未着手</t>
        </is>
      </c>
      <c r="R4" s="28" t="inlineStr"/>
    </row>
    <row r="5" outlineLevel="1">
      <c r="A5" s="42" t="inlineStr">
        <is>
          <t>P1-01-02</t>
        </is>
      </c>
      <c r="B5" s="42" t="inlineStr">
        <is>
          <t>P1</t>
        </is>
      </c>
      <c r="C5" s="43" t="inlineStr">
        <is>
          <t>方針</t>
        </is>
      </c>
      <c r="D5" s="42" t="n">
        <v>3</v>
      </c>
      <c r="E5" s="44" t="inlineStr">
        <is>
          <t>結婚の意思の有無と、結論を出す期限を年月で決める</t>
        </is>
      </c>
      <c r="F5" s="45" t="inlineStr">
        <is>
          <t>「◯年◯月までに結論」が明文化されている</t>
        </is>
      </c>
      <c r="G5" s="45" t="inlineStr"/>
      <c r="H5" s="45" t="inlineStr"/>
      <c r="I5" s="45" t="inlineStr"/>
      <c r="J5" s="42" t="n">
        <v>0</v>
      </c>
      <c r="K5" s="46">
        <f>EDATE('はじめに'!$C$5,J5)</f>
        <v/>
      </c>
      <c r="L5" s="42" t="inlineStr">
        <is>
          <t>推奨</t>
        </is>
      </c>
      <c r="M5" s="42" t="inlineStr">
        <is>
          <t>2人</t>
        </is>
      </c>
      <c r="N5" s="42" t="inlineStr">
        <is>
          <t>1時間</t>
        </is>
      </c>
      <c r="O5" s="45" t="inlineStr"/>
      <c r="P5" s="45" t="inlineStr">
        <is>
          <t>期待と不安の交換</t>
        </is>
      </c>
      <c r="Q5" s="38" t="inlineStr">
        <is>
          <t>未着手</t>
        </is>
      </c>
      <c r="R5" s="28" t="inlineStr"/>
    </row>
    <row r="6" outlineLevel="1">
      <c r="A6" s="39" t="inlineStr">
        <is>
          <t>P1-01-03</t>
        </is>
      </c>
      <c r="B6" s="39" t="inlineStr">
        <is>
          <t>P1</t>
        </is>
      </c>
      <c r="C6" s="22" t="inlineStr">
        <is>
          <t>方針</t>
        </is>
      </c>
      <c r="D6" s="39" t="n">
        <v>3</v>
      </c>
      <c r="E6" s="40" t="inlineStr">
        <is>
          <t>決めた内容を1枚にまとめ、共有ドライブに置く</t>
        </is>
      </c>
      <c r="F6" s="24" t="inlineStr">
        <is>
          <t>2人がいつでも見られるURLがある</t>
        </is>
      </c>
      <c r="G6" s="24" t="inlineStr"/>
      <c r="H6" s="24" t="inlineStr"/>
      <c r="I6" s="24" t="inlineStr"/>
      <c r="J6" s="39" t="n">
        <v>0</v>
      </c>
      <c r="K6" s="41">
        <f>EDATE('はじめに'!$C$5,J6)</f>
        <v/>
      </c>
      <c r="L6" s="39" t="inlineStr">
        <is>
          <t>任意</t>
        </is>
      </c>
      <c r="M6" s="39" t="inlineStr">
        <is>
          <t>どちらか</t>
        </is>
      </c>
      <c r="N6" s="39" t="inlineStr">
        <is>
          <t>30分</t>
        </is>
      </c>
      <c r="O6" s="24" t="inlineStr"/>
      <c r="P6" s="24" t="inlineStr"/>
      <c r="Q6" s="38" t="inlineStr">
        <is>
          <t>未着手</t>
        </is>
      </c>
      <c r="R6" s="28" t="inlineStr"/>
    </row>
    <row r="7">
      <c r="A7" s="33" t="inlineStr">
        <is>
          <t>P1-02</t>
        </is>
      </c>
      <c r="B7" s="33" t="inlineStr">
        <is>
          <t>P1</t>
        </is>
      </c>
      <c r="C7" s="34" t="inlineStr">
        <is>
          <t>住まい</t>
        </is>
      </c>
      <c r="D7" s="33" t="n">
        <v>2</v>
      </c>
      <c r="E7" s="35" t="inlineStr">
        <is>
          <t>住むエリアを決める（将来の保活を見越すか判断する）</t>
        </is>
      </c>
      <c r="F7" s="36" t="inlineStr">
        <is>
          <t>候補5エリアの比較表があり、第1候補が決まっている</t>
        </is>
      </c>
      <c r="G7" s="36" t="inlineStr">
        <is>
          <t>今の通勤で選ぶか、子どもができた後まで見越して選ぶか</t>
        </is>
      </c>
      <c r="H7" s="36" t="inlineStr">
        <is>
          <t>①都心の賃貸（狭いが通勤が楽） ②郊外で広め（保育園に入りやすい傾向） ③どちらかの実家の近く（応援が呼べる）</t>
        </is>
      </c>
      <c r="I7" s="36" t="inlineStr">
        <is>
          <t>保活・医療費助成・通勤・実家距離・災害リスクの5軸で点数化して比較する。子どもを持つ予定があるなら、この判断が後の4年間を規定する</t>
        </is>
      </c>
      <c r="J7" s="33" t="n">
        <v>0</v>
      </c>
      <c r="K7" s="37">
        <f>EDATE('はじめに'!$C$5,J7)</f>
        <v/>
      </c>
      <c r="L7" s="33" t="inlineStr">
        <is>
          <t>推奨</t>
        </is>
      </c>
      <c r="M7" s="33" t="inlineStr">
        <is>
          <t>2人</t>
        </is>
      </c>
      <c r="N7" s="33" t="inlineStr">
        <is>
          <t>1〜2週間</t>
        </is>
      </c>
      <c r="O7" s="36" t="inlineStr"/>
      <c r="P7" s="36" t="inlineStr">
        <is>
          <t>同棲の目的と期限の合意</t>
        </is>
      </c>
      <c r="Q7" s="38" t="inlineStr">
        <is>
          <t>未着手</t>
        </is>
      </c>
      <c r="R7" s="28" t="inlineStr"/>
    </row>
    <row r="8" outlineLevel="1">
      <c r="A8" s="39" t="inlineStr">
        <is>
          <t>P1-02-01</t>
        </is>
      </c>
      <c r="B8" s="39" t="inlineStr">
        <is>
          <t>P1</t>
        </is>
      </c>
      <c r="C8" s="22" t="inlineStr">
        <is>
          <t>住まい</t>
        </is>
      </c>
      <c r="D8" s="39" t="n">
        <v>3</v>
      </c>
      <c r="E8" s="40" t="inlineStr">
        <is>
          <t>候補エリアを5つ挙げて比較表の枠を作る</t>
        </is>
      </c>
      <c r="F8" s="24" t="inlineStr">
        <is>
          <t>5行×比較項目の空表ができている</t>
        </is>
      </c>
      <c r="G8" s="24" t="inlineStr"/>
      <c r="H8" s="24" t="inlineStr"/>
      <c r="I8" s="24" t="inlineStr"/>
      <c r="J8" s="39" t="n">
        <v>0</v>
      </c>
      <c r="K8" s="41">
        <f>EDATE('はじめに'!$C$5,J8)</f>
        <v/>
      </c>
      <c r="L8" s="39" t="inlineStr">
        <is>
          <t>推奨</t>
        </is>
      </c>
      <c r="M8" s="39" t="inlineStr">
        <is>
          <t>2人</t>
        </is>
      </c>
      <c r="N8" s="39" t="inlineStr">
        <is>
          <t>30分</t>
        </is>
      </c>
      <c r="O8" s="24" t="inlineStr"/>
      <c r="P8" s="24" t="inlineStr"/>
      <c r="Q8" s="38" t="inlineStr">
        <is>
          <t>未着手</t>
        </is>
      </c>
      <c r="R8" s="28" t="inlineStr"/>
    </row>
    <row r="9" outlineLevel="1">
      <c r="A9" s="42" t="inlineStr">
        <is>
          <t>P1-02-02</t>
        </is>
      </c>
      <c r="B9" s="42" t="inlineStr">
        <is>
          <t>P1</t>
        </is>
      </c>
      <c r="C9" s="43" t="inlineStr">
        <is>
          <t>住まい</t>
        </is>
      </c>
      <c r="D9" s="42" t="n">
        <v>3</v>
      </c>
      <c r="E9" s="44" t="inlineStr">
        <is>
          <t>各エリアの認可保育園の待機児童数と0歳児の定員を自治体サイトで調べる</t>
        </is>
      </c>
      <c r="F9" s="45" t="inlineStr">
        <is>
          <t>エリアごとの数字が比較表に入っている</t>
        </is>
      </c>
      <c r="G9" s="45" t="inlineStr"/>
      <c r="H9" s="45" t="inlineStr"/>
      <c r="I9" s="45" t="inlineStr"/>
      <c r="J9" s="42" t="n">
        <v>0</v>
      </c>
      <c r="K9" s="46">
        <f>EDATE('はじめに'!$C$5,J9)</f>
        <v/>
      </c>
      <c r="L9" s="42" t="inlineStr">
        <is>
          <t>推奨</t>
        </is>
      </c>
      <c r="M9" s="42" t="inlineStr">
        <is>
          <t>どちらか</t>
        </is>
      </c>
      <c r="N9" s="42" t="inlineStr">
        <is>
          <t>2時間</t>
        </is>
      </c>
      <c r="O9" s="45" t="inlineStr"/>
      <c r="P9" s="45" t="inlineStr"/>
      <c r="Q9" s="38" t="inlineStr">
        <is>
          <t>未着手</t>
        </is>
      </c>
      <c r="R9" s="28" t="inlineStr"/>
    </row>
    <row r="10" outlineLevel="1">
      <c r="A10" s="39" t="inlineStr">
        <is>
          <t>P1-02-03</t>
        </is>
      </c>
      <c r="B10" s="39" t="inlineStr">
        <is>
          <t>P1</t>
        </is>
      </c>
      <c r="C10" s="22" t="inlineStr">
        <is>
          <t>住まい</t>
        </is>
      </c>
      <c r="D10" s="39" t="n">
        <v>3</v>
      </c>
      <c r="E10" s="40" t="inlineStr">
        <is>
          <t>直近の認可保育園の内定最低指数（点数）を調べる</t>
        </is>
      </c>
      <c r="F10" s="24" t="inlineStr">
        <is>
          <t>共働きフルタイムで入れる見込みがあるか判断できる</t>
        </is>
      </c>
      <c r="G10" s="24" t="inlineStr"/>
      <c r="H10" s="24" t="inlineStr"/>
      <c r="I10" s="24" t="inlineStr"/>
      <c r="J10" s="39" t="n">
        <v>0</v>
      </c>
      <c r="K10" s="41">
        <f>EDATE('はじめに'!$C$5,J10)</f>
        <v/>
      </c>
      <c r="L10" s="39" t="inlineStr">
        <is>
          <t>推奨</t>
        </is>
      </c>
      <c r="M10" s="39" t="inlineStr">
        <is>
          <t>どちらか</t>
        </is>
      </c>
      <c r="N10" s="39" t="inlineStr">
        <is>
          <t>1時間</t>
        </is>
      </c>
      <c r="O10" s="24" t="inlineStr"/>
      <c r="P10" s="24" t="inlineStr"/>
      <c r="Q10" s="38" t="inlineStr">
        <is>
          <t>未着手</t>
        </is>
      </c>
      <c r="R10" s="28" t="inlineStr"/>
    </row>
    <row r="11" outlineLevel="1">
      <c r="A11" s="42" t="inlineStr">
        <is>
          <t>P1-02-04</t>
        </is>
      </c>
      <c r="B11" s="42" t="inlineStr">
        <is>
          <t>P1</t>
        </is>
      </c>
      <c r="C11" s="43" t="inlineStr">
        <is>
          <t>住まい</t>
        </is>
      </c>
      <c r="D11" s="42" t="n">
        <v>3</v>
      </c>
      <c r="E11" s="44" t="inlineStr">
        <is>
          <t>子ども医療費助成の対象年齢・所得制限・自己負担を比較する</t>
        </is>
      </c>
      <c r="F11" s="45" t="inlineStr">
        <is>
          <t>エリアごとに「何歳まで無料か」が表に入っている</t>
        </is>
      </c>
      <c r="G11" s="45" t="inlineStr"/>
      <c r="H11" s="45" t="inlineStr"/>
      <c r="I11" s="45" t="inlineStr"/>
      <c r="J11" s="42" t="n">
        <v>0</v>
      </c>
      <c r="K11" s="46">
        <f>EDATE('はじめに'!$C$5,J11)</f>
        <v/>
      </c>
      <c r="L11" s="42" t="inlineStr">
        <is>
          <t>推奨</t>
        </is>
      </c>
      <c r="M11" s="42" t="inlineStr">
        <is>
          <t>どちらか</t>
        </is>
      </c>
      <c r="N11" s="42" t="inlineStr">
        <is>
          <t>1時間</t>
        </is>
      </c>
      <c r="O11" s="45" t="inlineStr"/>
      <c r="P11" s="45" t="inlineStr"/>
      <c r="Q11" s="38" t="inlineStr">
        <is>
          <t>未着手</t>
        </is>
      </c>
      <c r="R11" s="28" t="inlineStr"/>
    </row>
    <row r="12" outlineLevel="1">
      <c r="A12" s="39" t="inlineStr">
        <is>
          <t>P1-02-05</t>
        </is>
      </c>
      <c r="B12" s="39" t="inlineStr">
        <is>
          <t>P1</t>
        </is>
      </c>
      <c r="C12" s="22" t="inlineStr">
        <is>
          <t>住まい</t>
        </is>
      </c>
      <c r="D12" s="39" t="n">
        <v>3</v>
      </c>
      <c r="E12" s="40" t="inlineStr">
        <is>
          <t>保育料の階層表と自治体独自の減免（第2子無償化など）を比較する</t>
        </is>
      </c>
      <c r="F12" s="24" t="inlineStr">
        <is>
          <t>想定年収での月額保育料が比較できる</t>
        </is>
      </c>
      <c r="G12" s="24" t="inlineStr"/>
      <c r="H12" s="24" t="inlineStr"/>
      <c r="I12" s="24" t="inlineStr"/>
      <c r="J12" s="39" t="n">
        <v>0</v>
      </c>
      <c r="K12" s="41">
        <f>EDATE('はじめに'!$C$5,J12)</f>
        <v/>
      </c>
      <c r="L12" s="39" t="inlineStr">
        <is>
          <t>任意</t>
        </is>
      </c>
      <c r="M12" s="39" t="inlineStr">
        <is>
          <t>どちらか</t>
        </is>
      </c>
      <c r="N12" s="39" t="inlineStr">
        <is>
          <t>1時間</t>
        </is>
      </c>
      <c r="O12" s="24" t="inlineStr"/>
      <c r="P12" s="24" t="inlineStr"/>
      <c r="Q12" s="38" t="inlineStr">
        <is>
          <t>未着手</t>
        </is>
      </c>
      <c r="R12" s="28" t="inlineStr"/>
    </row>
    <row r="13" outlineLevel="1">
      <c r="A13" s="42" t="inlineStr">
        <is>
          <t>P1-02-06</t>
        </is>
      </c>
      <c r="B13" s="42" t="inlineStr">
        <is>
          <t>P1</t>
        </is>
      </c>
      <c r="C13" s="43" t="inlineStr">
        <is>
          <t>住まい</t>
        </is>
      </c>
      <c r="D13" s="42" t="n">
        <v>3</v>
      </c>
      <c r="E13" s="44" t="inlineStr">
        <is>
          <t>2人の通勤時間をドアtoドアで実測する（乗換案内の数字ではなく実際に移動する）</t>
        </is>
      </c>
      <c r="F13" s="45" t="inlineStr">
        <is>
          <t>実測値が表に入っている</t>
        </is>
      </c>
      <c r="G13" s="45" t="inlineStr"/>
      <c r="H13" s="45" t="inlineStr"/>
      <c r="I13" s="45" t="inlineStr"/>
      <c r="J13" s="42" t="n">
        <v>0</v>
      </c>
      <c r="K13" s="46">
        <f>EDATE('はじめに'!$C$5,J13)</f>
        <v/>
      </c>
      <c r="L13" s="42" t="inlineStr">
        <is>
          <t>推奨</t>
        </is>
      </c>
      <c r="M13" s="42" t="inlineStr">
        <is>
          <t>2人</t>
        </is>
      </c>
      <c r="N13" s="42" t="inlineStr">
        <is>
          <t>半日</t>
        </is>
      </c>
      <c r="O13" s="45" t="inlineStr"/>
      <c r="P13" s="45" t="inlineStr"/>
      <c r="Q13" s="38" t="inlineStr">
        <is>
          <t>未着手</t>
        </is>
      </c>
      <c r="R13" s="28" t="inlineStr"/>
    </row>
    <row r="14" outlineLevel="1">
      <c r="A14" s="39" t="inlineStr">
        <is>
          <t>P1-02-07</t>
        </is>
      </c>
      <c r="B14" s="39" t="inlineStr">
        <is>
          <t>P1</t>
        </is>
      </c>
      <c r="C14" s="22" t="inlineStr">
        <is>
          <t>住まい</t>
        </is>
      </c>
      <c r="D14" s="39" t="n">
        <v>3</v>
      </c>
      <c r="E14" s="40" t="inlineStr">
        <is>
          <t>実家・義実家までのドアtoドア所要時間を出す</t>
        </is>
      </c>
      <c r="F14" s="24" t="inlineStr">
        <is>
          <t>「何かあったとき何時間で来られるか」が分かる</t>
        </is>
      </c>
      <c r="G14" s="24" t="inlineStr"/>
      <c r="H14" s="24" t="inlineStr"/>
      <c r="I14" s="24" t="inlineStr"/>
      <c r="J14" s="39" t="n">
        <v>0</v>
      </c>
      <c r="K14" s="41">
        <f>EDATE('はじめに'!$C$5,J14)</f>
        <v/>
      </c>
      <c r="L14" s="39" t="inlineStr">
        <is>
          <t>推奨</t>
        </is>
      </c>
      <c r="M14" s="39" t="inlineStr">
        <is>
          <t>2人</t>
        </is>
      </c>
      <c r="N14" s="39" t="inlineStr">
        <is>
          <t>30分</t>
        </is>
      </c>
      <c r="O14" s="24" t="inlineStr"/>
      <c r="P14" s="24" t="inlineStr"/>
      <c r="Q14" s="38" t="inlineStr">
        <is>
          <t>未着手</t>
        </is>
      </c>
      <c r="R14" s="28" t="inlineStr"/>
    </row>
    <row r="15" outlineLevel="1">
      <c r="A15" s="42" t="inlineStr">
        <is>
          <t>P1-02-08</t>
        </is>
      </c>
      <c r="B15" s="42" t="inlineStr">
        <is>
          <t>P1</t>
        </is>
      </c>
      <c r="C15" s="43" t="inlineStr">
        <is>
          <t>住まい</t>
        </is>
      </c>
      <c r="D15" s="42" t="n">
        <v>3</v>
      </c>
      <c r="E15" s="44" t="inlineStr">
        <is>
          <t>ハザードマップ（洪水・土砂・地震・液状化）を確認する</t>
        </is>
      </c>
      <c r="F15" s="45" t="inlineStr">
        <is>
          <t>候補エリアの災害リスクが把握できている</t>
        </is>
      </c>
      <c r="G15" s="45" t="inlineStr"/>
      <c r="H15" s="45" t="inlineStr"/>
      <c r="I15" s="45" t="inlineStr"/>
      <c r="J15" s="42" t="n">
        <v>0</v>
      </c>
      <c r="K15" s="46">
        <f>EDATE('はじめに'!$C$5,J15)</f>
        <v/>
      </c>
      <c r="L15" s="42" t="inlineStr">
        <is>
          <t>推奨</t>
        </is>
      </c>
      <c r="M15" s="42" t="inlineStr">
        <is>
          <t>どちらか</t>
        </is>
      </c>
      <c r="N15" s="42" t="inlineStr">
        <is>
          <t>30分</t>
        </is>
      </c>
      <c r="O15" s="45" t="inlineStr"/>
      <c r="P15" s="45" t="inlineStr"/>
      <c r="Q15" s="38" t="inlineStr">
        <is>
          <t>未着手</t>
        </is>
      </c>
      <c r="R15" s="28" t="inlineStr"/>
    </row>
    <row r="16" outlineLevel="1">
      <c r="A16" s="39" t="inlineStr">
        <is>
          <t>P1-02-09</t>
        </is>
      </c>
      <c r="B16" s="39" t="inlineStr">
        <is>
          <t>P1</t>
        </is>
      </c>
      <c r="C16" s="22" t="inlineStr">
        <is>
          <t>住まい</t>
        </is>
      </c>
      <c r="D16" s="39" t="n">
        <v>3</v>
      </c>
      <c r="E16" s="40" t="inlineStr">
        <is>
          <t>小児科・夜間休日診療所・病児保育の分布を調べる</t>
        </is>
      </c>
      <c r="F16" s="24" t="inlineStr">
        <is>
          <t>自転車15分圏内に小児科があるか分かる</t>
        </is>
      </c>
      <c r="G16" s="24" t="inlineStr"/>
      <c r="H16" s="24" t="inlineStr"/>
      <c r="I16" s="24" t="inlineStr"/>
      <c r="J16" s="39" t="n">
        <v>0</v>
      </c>
      <c r="K16" s="41">
        <f>EDATE('はじめに'!$C$5,J16)</f>
        <v/>
      </c>
      <c r="L16" s="39" t="inlineStr">
        <is>
          <t>推奨</t>
        </is>
      </c>
      <c r="M16" s="39" t="inlineStr">
        <is>
          <t>どちらか</t>
        </is>
      </c>
      <c r="N16" s="39" t="inlineStr">
        <is>
          <t>1時間</t>
        </is>
      </c>
      <c r="O16" s="24" t="inlineStr"/>
      <c r="P16" s="24" t="inlineStr"/>
      <c r="Q16" s="38" t="inlineStr">
        <is>
          <t>未着手</t>
        </is>
      </c>
      <c r="R16" s="28" t="inlineStr"/>
    </row>
    <row r="17" outlineLevel="1">
      <c r="A17" s="42" t="inlineStr">
        <is>
          <t>P1-02-10</t>
        </is>
      </c>
      <c r="B17" s="42" t="inlineStr">
        <is>
          <t>P1</t>
        </is>
      </c>
      <c r="C17" s="43" t="inlineStr">
        <is>
          <t>住まい</t>
        </is>
      </c>
      <c r="D17" s="42" t="n">
        <v>3</v>
      </c>
      <c r="E17" s="44" t="inlineStr">
        <is>
          <t>家賃相場・更新料の慣習・駐輪場の有無を比較する</t>
        </is>
      </c>
      <c r="F17" s="45" t="inlineStr">
        <is>
          <t>月額の総コストが比較できる</t>
        </is>
      </c>
      <c r="G17" s="45" t="inlineStr"/>
      <c r="H17" s="45" t="inlineStr"/>
      <c r="I17" s="45" t="inlineStr"/>
      <c r="J17" s="42" t="n">
        <v>0</v>
      </c>
      <c r="K17" s="46">
        <f>EDATE('はじめに'!$C$5,J17)</f>
        <v/>
      </c>
      <c r="L17" s="42" t="inlineStr">
        <is>
          <t>推奨</t>
        </is>
      </c>
      <c r="M17" s="42" t="inlineStr">
        <is>
          <t>2人</t>
        </is>
      </c>
      <c r="N17" s="42" t="inlineStr">
        <is>
          <t>1時間</t>
        </is>
      </c>
      <c r="O17" s="45" t="inlineStr"/>
      <c r="P17" s="45" t="inlineStr"/>
      <c r="Q17" s="38" t="inlineStr">
        <is>
          <t>未着手</t>
        </is>
      </c>
      <c r="R17" s="28" t="inlineStr"/>
    </row>
    <row r="18" outlineLevel="1">
      <c r="A18" s="39" t="inlineStr">
        <is>
          <t>P1-02-11</t>
        </is>
      </c>
      <c r="B18" s="39" t="inlineStr">
        <is>
          <t>P1</t>
        </is>
      </c>
      <c r="C18" s="22" t="inlineStr">
        <is>
          <t>住まい</t>
        </is>
      </c>
      <c r="D18" s="39" t="n">
        <v>3</v>
      </c>
      <c r="E18" s="40" t="inlineStr">
        <is>
          <t>上位2エリアを平日夜と休日昼にそれぞれ歩く</t>
        </is>
      </c>
      <c r="F18" s="24" t="inlineStr">
        <is>
          <t>夜の明るさ・人通り・買い物のしやすさを体感している</t>
        </is>
      </c>
      <c r="G18" s="24" t="inlineStr"/>
      <c r="H18" s="24" t="inlineStr"/>
      <c r="I18" s="24" t="inlineStr"/>
      <c r="J18" s="39" t="n">
        <v>0</v>
      </c>
      <c r="K18" s="41">
        <f>EDATE('はじめに'!$C$5,J18)</f>
        <v/>
      </c>
      <c r="L18" s="39" t="inlineStr">
        <is>
          <t>推奨</t>
        </is>
      </c>
      <c r="M18" s="39" t="inlineStr">
        <is>
          <t>2人</t>
        </is>
      </c>
      <c r="N18" s="39" t="inlineStr">
        <is>
          <t>1日</t>
        </is>
      </c>
      <c r="O18" s="24" t="inlineStr"/>
      <c r="P18" s="24" t="inlineStr"/>
      <c r="Q18" s="38" t="inlineStr">
        <is>
          <t>未着手</t>
        </is>
      </c>
      <c r="R18" s="28" t="inlineStr"/>
    </row>
    <row r="19" outlineLevel="1">
      <c r="A19" s="42" t="inlineStr">
        <is>
          <t>P1-02-12</t>
        </is>
      </c>
      <c r="B19" s="42" t="inlineStr">
        <is>
          <t>P1</t>
        </is>
      </c>
      <c r="C19" s="43" t="inlineStr">
        <is>
          <t>住まい</t>
        </is>
      </c>
      <c r="D19" s="42" t="n">
        <v>3</v>
      </c>
      <c r="E19" s="44" t="inlineStr">
        <is>
          <t>比較表に結論と理由を書いて、エリアを確定する</t>
        </is>
      </c>
      <c r="F19" s="45" t="inlineStr">
        <is>
          <t>第1候補が決まり、理由が書かれている</t>
        </is>
      </c>
      <c r="G19" s="45" t="inlineStr"/>
      <c r="H19" s="45" t="inlineStr"/>
      <c r="I19" s="45" t="inlineStr"/>
      <c r="J19" s="42" t="n">
        <v>1</v>
      </c>
      <c r="K19" s="46">
        <f>EDATE('はじめに'!$C$5,J19)</f>
        <v/>
      </c>
      <c r="L19" s="42" t="inlineStr">
        <is>
          <t>推奨</t>
        </is>
      </c>
      <c r="M19" s="42" t="inlineStr">
        <is>
          <t>2人</t>
        </is>
      </c>
      <c r="N19" s="42" t="inlineStr">
        <is>
          <t>1時間</t>
        </is>
      </c>
      <c r="O19" s="45" t="inlineStr"/>
      <c r="P19" s="45" t="inlineStr"/>
      <c r="Q19" s="38" t="inlineStr">
        <is>
          <t>未着手</t>
        </is>
      </c>
      <c r="R19" s="28" t="inlineStr"/>
    </row>
    <row r="20">
      <c r="A20" s="33" t="inlineStr">
        <is>
          <t>P1-03</t>
        </is>
      </c>
      <c r="B20" s="33" t="inlineStr">
        <is>
          <t>P1</t>
        </is>
      </c>
      <c r="C20" s="34" t="inlineStr">
        <is>
          <t>住まい</t>
        </is>
      </c>
      <c r="D20" s="33" t="n">
        <v>2</v>
      </c>
      <c r="E20" s="35" t="inlineStr">
        <is>
          <t>物件の条件を確定する</t>
        </is>
      </c>
      <c r="F20" s="36" t="inlineStr">
        <is>
          <t>不動産会社にそのまま渡せる条件シートがある</t>
        </is>
      </c>
      <c r="G20" s="36" t="inlineStr">
        <is>
          <t>子どもが生まれた後も住み続けられる物件かどうか</t>
        </is>
      </c>
      <c r="H20" s="36" t="inlineStr">
        <is>
          <t>1LDK（同棲のみ・2年で住み替え前提）／2LDK以上（出産後も住める）／分譲賃貸</t>
        </is>
      </c>
      <c r="I20" s="36" t="inlineStr">
        <is>
          <t>ベビーカーが通る玄関幅とエレベーターの有無／階数（ベビーカーを担げるか）／更新料／2年以内に引っ越す前提なら初期費用を抑える</t>
        </is>
      </c>
      <c r="J20" s="33" t="n">
        <v>1</v>
      </c>
      <c r="K20" s="37">
        <f>EDATE('はじめに'!$C$5,J20)</f>
        <v/>
      </c>
      <c r="L20" s="33" t="inlineStr">
        <is>
          <t>推奨</t>
        </is>
      </c>
      <c r="M20" s="33" t="inlineStr">
        <is>
          <t>2人</t>
        </is>
      </c>
      <c r="N20" s="33" t="inlineStr">
        <is>
          <t>3時間</t>
        </is>
      </c>
      <c r="O20" s="36" t="inlineStr"/>
      <c r="P20" s="36" t="inlineStr">
        <is>
          <t>住むエリアの決定</t>
        </is>
      </c>
      <c r="Q20" s="38" t="inlineStr">
        <is>
          <t>未着手</t>
        </is>
      </c>
      <c r="R20" s="28" t="inlineStr"/>
    </row>
    <row r="21" outlineLevel="1">
      <c r="A21" s="42" t="inlineStr">
        <is>
          <t>P1-03-01</t>
        </is>
      </c>
      <c r="B21" s="42" t="inlineStr">
        <is>
          <t>P1</t>
        </is>
      </c>
      <c r="C21" s="43" t="inlineStr">
        <is>
          <t>住まい</t>
        </is>
      </c>
      <c r="D21" s="42" t="n">
        <v>3</v>
      </c>
      <c r="E21" s="44" t="inlineStr">
        <is>
          <t>家賃の上限を「2人の手取り合計の◯%」で決める</t>
        </is>
      </c>
      <c r="F21" s="45" t="inlineStr">
        <is>
          <t>上限額が数字で決まっている</t>
        </is>
      </c>
      <c r="G21" s="45" t="inlineStr"/>
      <c r="H21" s="45" t="inlineStr"/>
      <c r="I21" s="45" t="inlineStr"/>
      <c r="J21" s="42" t="n">
        <v>1</v>
      </c>
      <c r="K21" s="46">
        <f>EDATE('はじめに'!$C$5,J21)</f>
        <v/>
      </c>
      <c r="L21" s="42" t="inlineStr">
        <is>
          <t>推奨</t>
        </is>
      </c>
      <c r="M21" s="42" t="inlineStr">
        <is>
          <t>2人</t>
        </is>
      </c>
      <c r="N21" s="42" t="inlineStr">
        <is>
          <t>30分</t>
        </is>
      </c>
      <c r="O21" s="45" t="inlineStr"/>
      <c r="P21" s="45" t="inlineStr"/>
      <c r="Q21" s="38" t="inlineStr">
        <is>
          <t>未着手</t>
        </is>
      </c>
      <c r="R21" s="28" t="inlineStr"/>
    </row>
    <row r="22" outlineLevel="1">
      <c r="A22" s="39" t="inlineStr">
        <is>
          <t>P1-03-02</t>
        </is>
      </c>
      <c r="B22" s="39" t="inlineStr">
        <is>
          <t>P1</t>
        </is>
      </c>
      <c r="C22" s="22" t="inlineStr">
        <is>
          <t>住まい</t>
        </is>
      </c>
      <c r="D22" s="39" t="n">
        <v>3</v>
      </c>
      <c r="E22" s="40" t="inlineStr">
        <is>
          <t>間取りの最低条件を決める（在宅勤務のスペース、将来の子ども部屋）</t>
        </is>
      </c>
      <c r="F22" s="24" t="inlineStr">
        <is>
          <t>必要な部屋数と広さが決まっている</t>
        </is>
      </c>
      <c r="G22" s="24" t="inlineStr"/>
      <c r="H22" s="24" t="inlineStr"/>
      <c r="I22" s="24" t="inlineStr"/>
      <c r="J22" s="39" t="n">
        <v>1</v>
      </c>
      <c r="K22" s="41">
        <f>EDATE('はじめに'!$C$5,J22)</f>
        <v/>
      </c>
      <c r="L22" s="39" t="inlineStr">
        <is>
          <t>推奨</t>
        </is>
      </c>
      <c r="M22" s="39" t="inlineStr">
        <is>
          <t>2人</t>
        </is>
      </c>
      <c r="N22" s="39" t="inlineStr">
        <is>
          <t>30分</t>
        </is>
      </c>
      <c r="O22" s="24" t="inlineStr"/>
      <c r="P22" s="24" t="inlineStr"/>
      <c r="Q22" s="38" t="inlineStr">
        <is>
          <t>未着手</t>
        </is>
      </c>
      <c r="R22" s="28" t="inlineStr"/>
    </row>
    <row r="23" outlineLevel="1">
      <c r="A23" s="42" t="inlineStr">
        <is>
          <t>P1-03-03</t>
        </is>
      </c>
      <c r="B23" s="42" t="inlineStr">
        <is>
          <t>P1</t>
        </is>
      </c>
      <c r="C23" s="43" t="inlineStr">
        <is>
          <t>住まい</t>
        </is>
      </c>
      <c r="D23" s="42" t="n">
        <v>3</v>
      </c>
      <c r="E23" s="44" t="inlineStr">
        <is>
          <t>ベビーカー基準の条件を入れる（玄関幅・エレベーター・段差・オートロック）</t>
        </is>
      </c>
      <c r="F23" s="45" t="inlineStr">
        <is>
          <t>条件シートに物理条件が入っている</t>
        </is>
      </c>
      <c r="G23" s="45" t="inlineStr"/>
      <c r="H23" s="45" t="inlineStr"/>
      <c r="I23" s="45" t="inlineStr"/>
      <c r="J23" s="42" t="n">
        <v>1</v>
      </c>
      <c r="K23" s="46">
        <f>EDATE('はじめに'!$C$5,J23)</f>
        <v/>
      </c>
      <c r="L23" s="42" t="inlineStr">
        <is>
          <t>推奨</t>
        </is>
      </c>
      <c r="M23" s="42" t="inlineStr">
        <is>
          <t>2人</t>
        </is>
      </c>
      <c r="N23" s="42" t="inlineStr">
        <is>
          <t>30分</t>
        </is>
      </c>
      <c r="O23" s="45" t="inlineStr"/>
      <c r="P23" s="45" t="inlineStr"/>
      <c r="Q23" s="38" t="inlineStr">
        <is>
          <t>未着手</t>
        </is>
      </c>
      <c r="R23" s="28" t="inlineStr"/>
    </row>
    <row r="24" outlineLevel="1">
      <c r="A24" s="39" t="inlineStr">
        <is>
          <t>P1-03-04</t>
        </is>
      </c>
      <c r="B24" s="39" t="inlineStr">
        <is>
          <t>P1</t>
        </is>
      </c>
      <c r="C24" s="22" t="inlineStr">
        <is>
          <t>住まい</t>
        </is>
      </c>
      <c r="D24" s="39" t="n">
        <v>3</v>
      </c>
      <c r="E24" s="40" t="inlineStr">
        <is>
          <t>各自が「譲れない条件」と「妥協できる条件」を3つずつ出す</t>
        </is>
      </c>
      <c r="F24" s="24" t="inlineStr">
        <is>
          <t>優先順位が可視化されている</t>
        </is>
      </c>
      <c r="G24" s="24" t="inlineStr"/>
      <c r="H24" s="24" t="inlineStr"/>
      <c r="I24" s="24" t="inlineStr"/>
      <c r="J24" s="39" t="n">
        <v>1</v>
      </c>
      <c r="K24" s="41">
        <f>EDATE('はじめに'!$C$5,J24)</f>
        <v/>
      </c>
      <c r="L24" s="39" t="inlineStr">
        <is>
          <t>推奨</t>
        </is>
      </c>
      <c r="M24" s="39" t="inlineStr">
        <is>
          <t>2人</t>
        </is>
      </c>
      <c r="N24" s="39" t="inlineStr">
        <is>
          <t>30分</t>
        </is>
      </c>
      <c r="O24" s="24" t="inlineStr"/>
      <c r="P24" s="24" t="inlineStr"/>
      <c r="Q24" s="38" t="inlineStr">
        <is>
          <t>未着手</t>
        </is>
      </c>
      <c r="R24" s="28" t="inlineStr"/>
    </row>
    <row r="25">
      <c r="A25" s="33" t="inlineStr">
        <is>
          <t>P1-04</t>
        </is>
      </c>
      <c r="B25" s="33" t="inlineStr">
        <is>
          <t>P1</t>
        </is>
      </c>
      <c r="C25" s="34" t="inlineStr">
        <is>
          <t>住まい</t>
        </is>
      </c>
      <c r="D25" s="33" t="n">
        <v>2</v>
      </c>
      <c r="E25" s="35" t="inlineStr">
        <is>
          <t>内見・申込・賃貸借契約</t>
        </is>
      </c>
      <c r="F25" s="36" t="inlineStr">
        <is>
          <t>鍵の引き渡し日が確定している</t>
        </is>
      </c>
      <c r="G25" s="36" t="inlineStr"/>
      <c r="H25" s="36" t="inlineStr"/>
      <c r="I25" s="36" t="inlineStr"/>
      <c r="J25" s="33" t="n">
        <v>1</v>
      </c>
      <c r="K25" s="37">
        <f>EDATE('はじめに'!$C$5,J25)</f>
        <v/>
      </c>
      <c r="L25" s="33" t="inlineStr">
        <is>
          <t>推奨</t>
        </is>
      </c>
      <c r="M25" s="33" t="inlineStr">
        <is>
          <t>2人</t>
        </is>
      </c>
      <c r="N25" s="33" t="inlineStr">
        <is>
          <t>2〜3週間</t>
        </is>
      </c>
      <c r="O25" s="36" t="inlineStr">
        <is>
          <t>40〜80万円</t>
        </is>
      </c>
      <c r="P25" s="36" t="inlineStr">
        <is>
          <t>物件条件の確定</t>
        </is>
      </c>
      <c r="Q25" s="38" t="inlineStr">
        <is>
          <t>未着手</t>
        </is>
      </c>
      <c r="R25" s="28" t="inlineStr"/>
    </row>
    <row r="26" outlineLevel="1">
      <c r="A26" s="39" t="inlineStr">
        <is>
          <t>P1-04-01</t>
        </is>
      </c>
      <c r="B26" s="39" t="inlineStr">
        <is>
          <t>P1</t>
        </is>
      </c>
      <c r="C26" s="22" t="inlineStr">
        <is>
          <t>住まい</t>
        </is>
      </c>
      <c r="D26" s="39" t="n">
        <v>3</v>
      </c>
      <c r="E26" s="40" t="inlineStr">
        <is>
          <t>不動産会社を2〜3社に絞って条件シートを渡す</t>
        </is>
      </c>
      <c r="F26" s="24" t="inlineStr">
        <is>
          <t>各社から物件提案が来ている</t>
        </is>
      </c>
      <c r="G26" s="24" t="inlineStr"/>
      <c r="H26" s="24" t="inlineStr"/>
      <c r="I26" s="24" t="inlineStr"/>
      <c r="J26" s="39" t="n">
        <v>1</v>
      </c>
      <c r="K26" s="41">
        <f>EDATE('はじめに'!$C$5,J26)</f>
        <v/>
      </c>
      <c r="L26" s="39" t="inlineStr">
        <is>
          <t>推奨</t>
        </is>
      </c>
      <c r="M26" s="39" t="inlineStr">
        <is>
          <t>どちらか</t>
        </is>
      </c>
      <c r="N26" s="39" t="inlineStr">
        <is>
          <t>2時間</t>
        </is>
      </c>
      <c r="O26" s="24" t="inlineStr"/>
      <c r="P26" s="24" t="inlineStr"/>
      <c r="Q26" s="38" t="inlineStr">
        <is>
          <t>未着手</t>
        </is>
      </c>
      <c r="R26" s="28" t="inlineStr"/>
    </row>
    <row r="27" outlineLevel="1">
      <c r="A27" s="42" t="inlineStr">
        <is>
          <t>P1-04-02</t>
        </is>
      </c>
      <c r="B27" s="42" t="inlineStr">
        <is>
          <t>P1</t>
        </is>
      </c>
      <c r="C27" s="43" t="inlineStr">
        <is>
          <t>住まい</t>
        </is>
      </c>
      <c r="D27" s="42" t="n">
        <v>3</v>
      </c>
      <c r="E27" s="44" t="inlineStr">
        <is>
          <t>内見のチェックリストを作る（携帯の電波・水圧・騒音・コンセント位置・収納・24hゴミ出し・洗濯機置場のサイズ）</t>
        </is>
      </c>
      <c r="F27" s="45" t="inlineStr">
        <is>
          <t>チェックリストが手元にある</t>
        </is>
      </c>
      <c r="G27" s="45" t="inlineStr"/>
      <c r="H27" s="45" t="inlineStr"/>
      <c r="I27" s="45" t="inlineStr"/>
      <c r="J27" s="42" t="n">
        <v>1</v>
      </c>
      <c r="K27" s="46">
        <f>EDATE('はじめに'!$C$5,J27)</f>
        <v/>
      </c>
      <c r="L27" s="42" t="inlineStr">
        <is>
          <t>推奨</t>
        </is>
      </c>
      <c r="M27" s="42" t="inlineStr">
        <is>
          <t>どちらか</t>
        </is>
      </c>
      <c r="N27" s="42" t="inlineStr">
        <is>
          <t>30分</t>
        </is>
      </c>
      <c r="O27" s="45" t="inlineStr"/>
      <c r="P27" s="45" t="inlineStr"/>
      <c r="Q27" s="38" t="inlineStr">
        <is>
          <t>未着手</t>
        </is>
      </c>
      <c r="R27" s="28" t="inlineStr"/>
    </row>
    <row r="28" outlineLevel="1">
      <c r="A28" s="39" t="inlineStr">
        <is>
          <t>P1-04-03</t>
        </is>
      </c>
      <c r="B28" s="39" t="inlineStr">
        <is>
          <t>P1</t>
        </is>
      </c>
      <c r="C28" s="22" t="inlineStr">
        <is>
          <t>住まい</t>
        </is>
      </c>
      <c r="D28" s="39" t="n">
        <v>3</v>
      </c>
      <c r="E28" s="40" t="inlineStr">
        <is>
          <t>内見を1日3〜5件まとめて回る</t>
        </is>
      </c>
      <c r="F28" s="24" t="inlineStr">
        <is>
          <t>候補が2〜3件に絞れている</t>
        </is>
      </c>
      <c r="G28" s="24" t="inlineStr"/>
      <c r="H28" s="24" t="inlineStr"/>
      <c r="I28" s="24" t="inlineStr"/>
      <c r="J28" s="39" t="n">
        <v>1</v>
      </c>
      <c r="K28" s="41">
        <f>EDATE('はじめに'!$C$5,J28)</f>
        <v/>
      </c>
      <c r="L28" s="39" t="inlineStr">
        <is>
          <t>推奨</t>
        </is>
      </c>
      <c r="M28" s="39" t="inlineStr">
        <is>
          <t>2人</t>
        </is>
      </c>
      <c r="N28" s="39" t="inlineStr">
        <is>
          <t>1日</t>
        </is>
      </c>
      <c r="O28" s="24" t="inlineStr"/>
      <c r="P28" s="24" t="inlineStr"/>
      <c r="Q28" s="38" t="inlineStr">
        <is>
          <t>未着手</t>
        </is>
      </c>
      <c r="R28" s="28" t="inlineStr"/>
    </row>
    <row r="29" outlineLevel="1">
      <c r="A29" s="42" t="inlineStr">
        <is>
          <t>P1-04-04</t>
        </is>
      </c>
      <c r="B29" s="42" t="inlineStr">
        <is>
          <t>P1</t>
        </is>
      </c>
      <c r="C29" s="43" t="inlineStr">
        <is>
          <t>住まい</t>
        </is>
      </c>
      <c r="D29" s="42" t="n">
        <v>3</v>
      </c>
      <c r="E29" s="44" t="inlineStr">
        <is>
          <t>申込・入居審査（保証会社／連帯保証人）</t>
        </is>
      </c>
      <c r="F29" s="45" t="inlineStr">
        <is>
          <t>審査が通っている</t>
        </is>
      </c>
      <c r="G29" s="45" t="inlineStr"/>
      <c r="H29" s="45" t="inlineStr"/>
      <c r="I29" s="45" t="inlineStr"/>
      <c r="J29" s="42" t="n">
        <v>1</v>
      </c>
      <c r="K29" s="46">
        <f>EDATE('はじめに'!$C$5,J29)</f>
        <v/>
      </c>
      <c r="L29" s="42" t="inlineStr">
        <is>
          <t>推奨</t>
        </is>
      </c>
      <c r="M29" s="42" t="inlineStr">
        <is>
          <t>どちらか</t>
        </is>
      </c>
      <c r="N29" s="42" t="inlineStr">
        <is>
          <t>1週間</t>
        </is>
      </c>
      <c r="O29" s="45" t="inlineStr"/>
      <c r="P29" s="45" t="inlineStr"/>
      <c r="Q29" s="38" t="inlineStr">
        <is>
          <t>未着手</t>
        </is>
      </c>
      <c r="R29" s="28" t="inlineStr"/>
    </row>
    <row r="30" outlineLevel="1">
      <c r="A30" s="39" t="inlineStr">
        <is>
          <t>P1-04-05</t>
        </is>
      </c>
      <c r="B30" s="39" t="inlineStr">
        <is>
          <t>P1</t>
        </is>
      </c>
      <c r="C30" s="22" t="inlineStr">
        <is>
          <t>住まい</t>
        </is>
      </c>
      <c r="D30" s="39" t="n">
        <v>3</v>
      </c>
      <c r="E30" s="40" t="inlineStr">
        <is>
          <t>重要事項説明を受け、更新料・原状回復・退去予告期間・二人入居可を確認して契約する</t>
        </is>
      </c>
      <c r="F30" s="24" t="inlineStr">
        <is>
          <t>契約書に署名し、控えを保管している</t>
        </is>
      </c>
      <c r="G30" s="24" t="inlineStr"/>
      <c r="H30" s="24" t="inlineStr"/>
      <c r="I30" s="24" t="inlineStr"/>
      <c r="J30" s="39" t="n">
        <v>2</v>
      </c>
      <c r="K30" s="41">
        <f>EDATE('はじめに'!$C$5,J30)</f>
        <v/>
      </c>
      <c r="L30" s="39" t="inlineStr">
        <is>
          <t>法定</t>
        </is>
      </c>
      <c r="M30" s="39" t="inlineStr">
        <is>
          <t>2人</t>
        </is>
      </c>
      <c r="N30" s="39" t="inlineStr">
        <is>
          <t>2時間</t>
        </is>
      </c>
      <c r="O30" s="24" t="inlineStr"/>
      <c r="P30" s="24" t="inlineStr"/>
      <c r="Q30" s="38" t="inlineStr">
        <is>
          <t>未着手</t>
        </is>
      </c>
      <c r="R30" s="28" t="inlineStr"/>
    </row>
    <row r="31" outlineLevel="1">
      <c r="A31" s="42" t="inlineStr">
        <is>
          <t>P1-04-06</t>
        </is>
      </c>
      <c r="B31" s="42" t="inlineStr">
        <is>
          <t>P1</t>
        </is>
      </c>
      <c r="C31" s="43" t="inlineStr">
        <is>
          <t>住まい</t>
        </is>
      </c>
      <c r="D31" s="42" t="n">
        <v>3</v>
      </c>
      <c r="E31" s="44" t="inlineStr">
        <is>
          <t>初期費用を支払い、鍵の受け取り日を確定する</t>
        </is>
      </c>
      <c r="F31" s="45" t="inlineStr">
        <is>
          <t>入居日が決まっている</t>
        </is>
      </c>
      <c r="G31" s="45" t="inlineStr"/>
      <c r="H31" s="45" t="inlineStr"/>
      <c r="I31" s="45" t="inlineStr"/>
      <c r="J31" s="42" t="n">
        <v>2</v>
      </c>
      <c r="K31" s="46">
        <f>EDATE('はじめに'!$C$5,J31)</f>
        <v/>
      </c>
      <c r="L31" s="42" t="inlineStr">
        <is>
          <t>推奨</t>
        </is>
      </c>
      <c r="M31" s="42" t="inlineStr">
        <is>
          <t>どちらか</t>
        </is>
      </c>
      <c r="N31" s="42" t="inlineStr">
        <is>
          <t>30分</t>
        </is>
      </c>
      <c r="O31" s="45" t="inlineStr"/>
      <c r="P31" s="45" t="inlineStr"/>
      <c r="Q31" s="38" t="inlineStr">
        <is>
          <t>未着手</t>
        </is>
      </c>
      <c r="R31" s="28" t="inlineStr"/>
    </row>
    <row r="32">
      <c r="A32" s="33" t="inlineStr">
        <is>
          <t>P1-05</t>
        </is>
      </c>
      <c r="B32" s="33" t="inlineStr">
        <is>
          <t>P1</t>
        </is>
      </c>
      <c r="C32" s="34" t="inlineStr">
        <is>
          <t>お金</t>
        </is>
      </c>
      <c r="D32" s="33" t="n">
        <v>2</v>
      </c>
      <c r="E32" s="35" t="inlineStr">
        <is>
          <t>初期費用の分担ルールを決める</t>
        </is>
      </c>
      <c r="F32" s="36" t="inlineStr">
        <is>
          <t>誰がいくら出すかと、解消時の扱いが書面になっている</t>
        </is>
      </c>
      <c r="G32" s="36" t="inlineStr">
        <is>
          <t>敷金礼金・引越し・家具家電を誰がいくら出すか</t>
        </is>
      </c>
      <c r="H32" s="36" t="inlineStr">
        <is>
          <t>完全折半／収入比例／費目別（家賃は多い方・家電は少ない方）</t>
        </is>
      </c>
      <c r="I32" s="36" t="inlineStr">
        <is>
          <t>解消したときに揉めないよう、高額家具の名義と持ち出しルールまで決めておく</t>
        </is>
      </c>
      <c r="J32" s="33" t="n">
        <v>0</v>
      </c>
      <c r="K32" s="37">
        <f>EDATE('はじめに'!$C$5,J32)</f>
        <v/>
      </c>
      <c r="L32" s="33" t="inlineStr">
        <is>
          <t>推奨</t>
        </is>
      </c>
      <c r="M32" s="33" t="inlineStr">
        <is>
          <t>2人</t>
        </is>
      </c>
      <c r="N32" s="33" t="inlineStr">
        <is>
          <t>2時間</t>
        </is>
      </c>
      <c r="O32" s="36" t="inlineStr"/>
      <c r="P32" s="36" t="inlineStr"/>
      <c r="Q32" s="38" t="inlineStr">
        <is>
          <t>未着手</t>
        </is>
      </c>
      <c r="R32" s="28" t="inlineStr"/>
    </row>
    <row r="33" outlineLevel="1">
      <c r="A33" s="42" t="inlineStr">
        <is>
          <t>P1-05-01</t>
        </is>
      </c>
      <c r="B33" s="42" t="inlineStr">
        <is>
          <t>P1</t>
        </is>
      </c>
      <c r="C33" s="43" t="inlineStr">
        <is>
          <t>お金</t>
        </is>
      </c>
      <c r="D33" s="42" t="n">
        <v>3</v>
      </c>
      <c r="E33" s="44" t="inlineStr">
        <is>
          <t>初期費用の総額を見積もる（敷金・礼金・仲介手数料・前家賃・火災保険・鍵交換・引越し・家具家電）</t>
        </is>
      </c>
      <c r="F33" s="45" t="inlineStr">
        <is>
          <t>総額の見積もりが数字で出ている</t>
        </is>
      </c>
      <c r="G33" s="45" t="inlineStr"/>
      <c r="H33" s="45" t="inlineStr"/>
      <c r="I33" s="45" t="inlineStr"/>
      <c r="J33" s="42" t="n">
        <v>0</v>
      </c>
      <c r="K33" s="46">
        <f>EDATE('はじめに'!$C$5,J33)</f>
        <v/>
      </c>
      <c r="L33" s="42" t="inlineStr">
        <is>
          <t>推奨</t>
        </is>
      </c>
      <c r="M33" s="42" t="inlineStr">
        <is>
          <t>2人</t>
        </is>
      </c>
      <c r="N33" s="42" t="inlineStr">
        <is>
          <t>1時間</t>
        </is>
      </c>
      <c r="O33" s="45" t="inlineStr"/>
      <c r="P33" s="45" t="inlineStr"/>
      <c r="Q33" s="38" t="inlineStr">
        <is>
          <t>未着手</t>
        </is>
      </c>
      <c r="R33" s="28" t="inlineStr"/>
    </row>
    <row r="34" outlineLevel="1">
      <c r="A34" s="39" t="inlineStr">
        <is>
          <t>P1-05-02</t>
        </is>
      </c>
      <c r="B34" s="39" t="inlineStr">
        <is>
          <t>P1</t>
        </is>
      </c>
      <c r="C34" s="22" t="inlineStr">
        <is>
          <t>お金</t>
        </is>
      </c>
      <c r="D34" s="39" t="n">
        <v>3</v>
      </c>
      <c r="E34" s="40" t="inlineStr">
        <is>
          <t>負担割合を決める（折半／収入比例／費目別）</t>
        </is>
      </c>
      <c r="F34" s="24" t="inlineStr">
        <is>
          <t>各自の負担額が確定している</t>
        </is>
      </c>
      <c r="G34" s="24" t="inlineStr"/>
      <c r="H34" s="24" t="inlineStr"/>
      <c r="I34" s="24" t="inlineStr"/>
      <c r="J34" s="39" t="n">
        <v>0</v>
      </c>
      <c r="K34" s="41">
        <f>EDATE('はじめに'!$C$5,J34)</f>
        <v/>
      </c>
      <c r="L34" s="39" t="inlineStr">
        <is>
          <t>推奨</t>
        </is>
      </c>
      <c r="M34" s="39" t="inlineStr">
        <is>
          <t>2人</t>
        </is>
      </c>
      <c r="N34" s="39" t="inlineStr">
        <is>
          <t>30分</t>
        </is>
      </c>
      <c r="O34" s="24" t="inlineStr"/>
      <c r="P34" s="24" t="inlineStr"/>
      <c r="Q34" s="38" t="inlineStr">
        <is>
          <t>未着手</t>
        </is>
      </c>
      <c r="R34" s="28" t="inlineStr"/>
    </row>
    <row r="35" outlineLevel="1">
      <c r="A35" s="42" t="inlineStr">
        <is>
          <t>P1-05-03</t>
        </is>
      </c>
      <c r="B35" s="42" t="inlineStr">
        <is>
          <t>P1</t>
        </is>
      </c>
      <c r="C35" s="43" t="inlineStr">
        <is>
          <t>お金</t>
        </is>
      </c>
      <c r="D35" s="42" t="n">
        <v>3</v>
      </c>
      <c r="E35" s="44" t="inlineStr">
        <is>
          <t>5万円以上の家具家電の名義と、解消時の扱いを決めて書き残す</t>
        </is>
      </c>
      <c r="F35" s="45" t="inlineStr">
        <is>
          <t>リストと扱いが書面になっている</t>
        </is>
      </c>
      <c r="G35" s="45" t="inlineStr"/>
      <c r="H35" s="45" t="inlineStr"/>
      <c r="I35" s="45" t="inlineStr"/>
      <c r="J35" s="42" t="n">
        <v>0</v>
      </c>
      <c r="K35" s="46">
        <f>EDATE('はじめに'!$C$5,J35)</f>
        <v/>
      </c>
      <c r="L35" s="42" t="inlineStr">
        <is>
          <t>推奨</t>
        </is>
      </c>
      <c r="M35" s="42" t="inlineStr">
        <is>
          <t>2人</t>
        </is>
      </c>
      <c r="N35" s="42" t="inlineStr">
        <is>
          <t>30分</t>
        </is>
      </c>
      <c r="O35" s="45" t="inlineStr"/>
      <c r="P35" s="45" t="inlineStr"/>
      <c r="Q35" s="38" t="inlineStr">
        <is>
          <t>未着手</t>
        </is>
      </c>
      <c r="R35" s="28" t="inlineStr"/>
    </row>
    <row r="36">
      <c r="A36" s="33" t="inlineStr">
        <is>
          <t>P1-06</t>
        </is>
      </c>
      <c r="B36" s="33" t="inlineStr">
        <is>
          <t>P1</t>
        </is>
      </c>
      <c r="C36" s="34" t="inlineStr">
        <is>
          <t>お金</t>
        </is>
      </c>
      <c r="D36" s="33" t="n">
        <v>2</v>
      </c>
      <c r="E36" s="35" t="inlineStr">
        <is>
          <t>生活費の分担方式と共通口座を決める</t>
        </is>
      </c>
      <c r="F36" s="36" t="inlineStr">
        <is>
          <t>共通口座が開設され、自動送金が設定されている</t>
        </is>
      </c>
      <c r="G36" s="36" t="inlineStr">
        <is>
          <t>毎月いくらを共通に入れ、何を共通費とするか</t>
        </is>
      </c>
      <c r="H36" s="36" t="inlineStr">
        <is>
          <t>①完全折半 ②収入比例 ③費目別分担 ④全額共通＋各自にお小遣い</t>
        </is>
      </c>
      <c r="I36" s="36" t="inlineStr">
        <is>
          <t>同棲期の最大の火種。共通費の定義（食費は？外食は？デート代は？帰省費は？）まで書き出す。収入差があるなら折半は不満が出やすい</t>
        </is>
      </c>
      <c r="J36" s="33" t="n">
        <v>2</v>
      </c>
      <c r="K36" s="37">
        <f>EDATE('はじめに'!$C$5,J36)</f>
        <v/>
      </c>
      <c r="L36" s="33" t="inlineStr">
        <is>
          <t>推奨</t>
        </is>
      </c>
      <c r="M36" s="33" t="inlineStr">
        <is>
          <t>2人</t>
        </is>
      </c>
      <c r="N36" s="33" t="inlineStr">
        <is>
          <t>1週間</t>
        </is>
      </c>
      <c r="O36" s="36" t="inlineStr"/>
      <c r="P36" s="36" t="inlineStr">
        <is>
          <t>初期費用の分担ルール</t>
        </is>
      </c>
      <c r="Q36" s="38" t="inlineStr">
        <is>
          <t>未着手</t>
        </is>
      </c>
      <c r="R36" s="28" t="inlineStr"/>
    </row>
    <row r="37" outlineLevel="1">
      <c r="A37" s="42" t="inlineStr">
        <is>
          <t>P1-06-01</t>
        </is>
      </c>
      <c r="B37" s="42" t="inlineStr">
        <is>
          <t>P1</t>
        </is>
      </c>
      <c r="C37" s="43" t="inlineStr">
        <is>
          <t>お金</t>
        </is>
      </c>
      <c r="D37" s="42" t="n">
        <v>3</v>
      </c>
      <c r="E37" s="44" t="inlineStr">
        <is>
          <t>2人の手取りと固定費を全部書き出して突き合わせる</t>
        </is>
      </c>
      <c r="F37" s="45" t="inlineStr">
        <is>
          <t>毎月の収支が1枚にまとまっている</t>
        </is>
      </c>
      <c r="G37" s="45" t="inlineStr"/>
      <c r="H37" s="45" t="inlineStr"/>
      <c r="I37" s="45" t="inlineStr"/>
      <c r="J37" s="42" t="n">
        <v>2</v>
      </c>
      <c r="K37" s="46">
        <f>EDATE('はじめに'!$C$5,J37)</f>
        <v/>
      </c>
      <c r="L37" s="42" t="inlineStr">
        <is>
          <t>推奨</t>
        </is>
      </c>
      <c r="M37" s="42" t="inlineStr">
        <is>
          <t>2人</t>
        </is>
      </c>
      <c r="N37" s="42" t="inlineStr">
        <is>
          <t>2時間</t>
        </is>
      </c>
      <c r="O37" s="45" t="inlineStr"/>
      <c r="P37" s="45" t="inlineStr"/>
      <c r="Q37" s="38" t="inlineStr">
        <is>
          <t>未着手</t>
        </is>
      </c>
      <c r="R37" s="28" t="inlineStr"/>
    </row>
    <row r="38" outlineLevel="1">
      <c r="A38" s="39" t="inlineStr">
        <is>
          <t>P1-06-02</t>
        </is>
      </c>
      <c r="B38" s="39" t="inlineStr">
        <is>
          <t>P1</t>
        </is>
      </c>
      <c r="C38" s="22" t="inlineStr">
        <is>
          <t>お金</t>
        </is>
      </c>
      <c r="D38" s="39" t="n">
        <v>3</v>
      </c>
      <c r="E38" s="40" t="inlineStr">
        <is>
          <t>共通費の定義を項目単位で決める（食費・日用品・外食・デート代・帰省費・家電）</t>
        </is>
      </c>
      <c r="F38" s="24" t="inlineStr">
        <is>
          <t>共通費に入る／入らないの線引きが文章になっている</t>
        </is>
      </c>
      <c r="G38" s="24" t="inlineStr"/>
      <c r="H38" s="24" t="inlineStr"/>
      <c r="I38" s="24" t="inlineStr"/>
      <c r="J38" s="39" t="n">
        <v>2</v>
      </c>
      <c r="K38" s="41">
        <f>EDATE('はじめに'!$C$5,J38)</f>
        <v/>
      </c>
      <c r="L38" s="39" t="inlineStr">
        <is>
          <t>推奨</t>
        </is>
      </c>
      <c r="M38" s="39" t="inlineStr">
        <is>
          <t>2人</t>
        </is>
      </c>
      <c r="N38" s="39" t="inlineStr">
        <is>
          <t>1時間</t>
        </is>
      </c>
      <c r="O38" s="24" t="inlineStr"/>
      <c r="P38" s="24" t="inlineStr"/>
      <c r="Q38" s="38" t="inlineStr">
        <is>
          <t>未着手</t>
        </is>
      </c>
      <c r="R38" s="28" t="inlineStr"/>
    </row>
    <row r="39" outlineLevel="1">
      <c r="A39" s="42" t="inlineStr">
        <is>
          <t>P1-06-03</t>
        </is>
      </c>
      <c r="B39" s="42" t="inlineStr">
        <is>
          <t>P1</t>
        </is>
      </c>
      <c r="C39" s="43" t="inlineStr">
        <is>
          <t>お金</t>
        </is>
      </c>
      <c r="D39" s="42" t="n">
        <v>3</v>
      </c>
      <c r="E39" s="44" t="inlineStr">
        <is>
          <t>共通口座を開設する（ネット銀行が管理しやすい）</t>
        </is>
      </c>
      <c r="F39" s="45" t="inlineStr">
        <is>
          <t>口座があり、2人が残高を見られる</t>
        </is>
      </c>
      <c r="G39" s="45" t="inlineStr"/>
      <c r="H39" s="45" t="inlineStr"/>
      <c r="I39" s="45" t="inlineStr"/>
      <c r="J39" s="42" t="n">
        <v>2</v>
      </c>
      <c r="K39" s="46">
        <f>EDATE('はじめに'!$C$5,J39)</f>
        <v/>
      </c>
      <c r="L39" s="42" t="inlineStr">
        <is>
          <t>推奨</t>
        </is>
      </c>
      <c r="M39" s="42" t="inlineStr">
        <is>
          <t>どちらか</t>
        </is>
      </c>
      <c r="N39" s="42" t="inlineStr">
        <is>
          <t>1時間</t>
        </is>
      </c>
      <c r="O39" s="45" t="inlineStr"/>
      <c r="P39" s="45" t="inlineStr"/>
      <c r="Q39" s="38" t="inlineStr">
        <is>
          <t>未着手</t>
        </is>
      </c>
      <c r="R39" s="28" t="inlineStr"/>
    </row>
    <row r="40" outlineLevel="1">
      <c r="A40" s="39" t="inlineStr">
        <is>
          <t>P1-06-04</t>
        </is>
      </c>
      <c r="B40" s="39" t="inlineStr">
        <is>
          <t>P1</t>
        </is>
      </c>
      <c r="C40" s="22" t="inlineStr">
        <is>
          <t>お金</t>
        </is>
      </c>
      <c r="D40" s="39" t="n">
        <v>3</v>
      </c>
      <c r="E40" s="40" t="inlineStr">
        <is>
          <t>毎月の入金額と入金日を決めて自動送金を設定する</t>
        </is>
      </c>
      <c r="F40" s="24" t="inlineStr">
        <is>
          <t>自動送金が動いている</t>
        </is>
      </c>
      <c r="G40" s="24" t="inlineStr"/>
      <c r="H40" s="24" t="inlineStr"/>
      <c r="I40" s="24" t="inlineStr"/>
      <c r="J40" s="39" t="n">
        <v>2</v>
      </c>
      <c r="K40" s="41">
        <f>EDATE('はじめに'!$C$5,J40)</f>
        <v/>
      </c>
      <c r="L40" s="39" t="inlineStr">
        <is>
          <t>推奨</t>
        </is>
      </c>
      <c r="M40" s="39" t="inlineStr">
        <is>
          <t>2人</t>
        </is>
      </c>
      <c r="N40" s="39" t="inlineStr">
        <is>
          <t>30分</t>
        </is>
      </c>
      <c r="O40" s="24" t="inlineStr"/>
      <c r="P40" s="24" t="inlineStr"/>
      <c r="Q40" s="38" t="inlineStr">
        <is>
          <t>未着手</t>
        </is>
      </c>
      <c r="R40" s="28" t="inlineStr"/>
    </row>
    <row r="41" outlineLevel="1">
      <c r="A41" s="42" t="inlineStr">
        <is>
          <t>P1-06-05</t>
        </is>
      </c>
      <c r="B41" s="42" t="inlineStr">
        <is>
          <t>P1</t>
        </is>
      </c>
      <c r="C41" s="43" t="inlineStr">
        <is>
          <t>お金</t>
        </is>
      </c>
      <c r="D41" s="42" t="n">
        <v>3</v>
      </c>
      <c r="E41" s="44" t="inlineStr">
        <is>
          <t>共通の決済手段（クレカ／デビット）を作るか決める</t>
        </is>
      </c>
      <c r="F41" s="45" t="inlineStr">
        <is>
          <t>共通費の支払い方法が1つに決まっている</t>
        </is>
      </c>
      <c r="G41" s="45" t="inlineStr"/>
      <c r="H41" s="45" t="inlineStr"/>
      <c r="I41" s="45" t="inlineStr"/>
      <c r="J41" s="42" t="n">
        <v>2</v>
      </c>
      <c r="K41" s="46">
        <f>EDATE('はじめに'!$C$5,J41)</f>
        <v/>
      </c>
      <c r="L41" s="42" t="inlineStr">
        <is>
          <t>任意</t>
        </is>
      </c>
      <c r="M41" s="42" t="inlineStr">
        <is>
          <t>どちらか</t>
        </is>
      </c>
      <c r="N41" s="42" t="inlineStr">
        <is>
          <t>1時間</t>
        </is>
      </c>
      <c r="O41" s="45" t="inlineStr"/>
      <c r="P41" s="45" t="inlineStr"/>
      <c r="Q41" s="38" t="inlineStr">
        <is>
          <t>未着手</t>
        </is>
      </c>
      <c r="R41" s="28" t="inlineStr"/>
    </row>
    <row r="42" outlineLevel="1">
      <c r="A42" s="39" t="inlineStr">
        <is>
          <t>P1-06-06</t>
        </is>
      </c>
      <c r="B42" s="39" t="inlineStr">
        <is>
          <t>P1</t>
        </is>
      </c>
      <c r="C42" s="22" t="inlineStr">
        <is>
          <t>お金</t>
        </is>
      </c>
      <c r="D42" s="39" t="n">
        <v>3</v>
      </c>
      <c r="E42" s="40" t="inlineStr">
        <is>
          <t>家計管理アプリを2人で連携する</t>
        </is>
      </c>
      <c r="F42" s="24" t="inlineStr">
        <is>
          <t>2人が同じ画面を見られる</t>
        </is>
      </c>
      <c r="G42" s="24" t="inlineStr">
        <is>
          <t>どのツールを使うか</t>
        </is>
      </c>
      <c r="H42" s="24" t="inlineStr">
        <is>
          <t>マネーフォワードME／Zaim／OsidOri（夫婦向け）／スプレッドシート</t>
        </is>
      </c>
      <c r="I42" s="24" t="inlineStr">
        <is>
          <t>見えない支出があると疑心が生まれる。2人で見られることが最優先</t>
        </is>
      </c>
      <c r="J42" s="39" t="n">
        <v>2</v>
      </c>
      <c r="K42" s="41">
        <f>EDATE('はじめに'!$C$5,J42)</f>
        <v/>
      </c>
      <c r="L42" s="39" t="inlineStr">
        <is>
          <t>推奨</t>
        </is>
      </c>
      <c r="M42" s="39" t="inlineStr">
        <is>
          <t>2人</t>
        </is>
      </c>
      <c r="N42" s="39" t="inlineStr">
        <is>
          <t>1時間</t>
        </is>
      </c>
      <c r="O42" s="24" t="inlineStr">
        <is>
          <t>0〜1,000円/月</t>
        </is>
      </c>
      <c r="P42" s="24" t="inlineStr"/>
      <c r="Q42" s="38" t="inlineStr">
        <is>
          <t>未着手</t>
        </is>
      </c>
      <c r="R42" s="28" t="inlineStr"/>
    </row>
    <row r="43" outlineLevel="1">
      <c r="A43" s="42" t="inlineStr">
        <is>
          <t>P1-06-07</t>
        </is>
      </c>
      <c r="B43" s="42" t="inlineStr">
        <is>
          <t>P1</t>
        </is>
      </c>
      <c r="C43" s="43" t="inlineStr">
        <is>
          <t>お金</t>
        </is>
      </c>
      <c r="D43" s="42" t="n">
        <v>3</v>
      </c>
      <c r="E43" s="44" t="inlineStr">
        <is>
          <t>月1回の家計レビュー日をカレンダーに繰り返し登録する</t>
        </is>
      </c>
      <c r="F43" s="45" t="inlineStr">
        <is>
          <t>予定が毎月入っている</t>
        </is>
      </c>
      <c r="G43" s="45" t="inlineStr"/>
      <c r="H43" s="45" t="inlineStr"/>
      <c r="I43" s="45" t="inlineStr"/>
      <c r="J43" s="42" t="n">
        <v>2</v>
      </c>
      <c r="K43" s="46">
        <f>EDATE('はじめに'!$C$5,J43)</f>
        <v/>
      </c>
      <c r="L43" s="42" t="inlineStr">
        <is>
          <t>推奨</t>
        </is>
      </c>
      <c r="M43" s="42" t="inlineStr">
        <is>
          <t>2人</t>
        </is>
      </c>
      <c r="N43" s="42" t="inlineStr">
        <is>
          <t>10分</t>
        </is>
      </c>
      <c r="O43" s="45" t="inlineStr"/>
      <c r="P43" s="45" t="inlineStr"/>
      <c r="Q43" s="38" t="inlineStr">
        <is>
          <t>未着手</t>
        </is>
      </c>
      <c r="R43" s="28" t="inlineStr"/>
    </row>
    <row r="44">
      <c r="A44" s="33" t="inlineStr">
        <is>
          <t>P1-07</t>
        </is>
      </c>
      <c r="B44" s="33" t="inlineStr">
        <is>
          <t>P1</t>
        </is>
      </c>
      <c r="C44" s="34" t="inlineStr">
        <is>
          <t>家事</t>
        </is>
      </c>
      <c r="D44" s="33" t="n">
        <v>2</v>
      </c>
      <c r="E44" s="35" t="inlineStr">
        <is>
          <t>家事を分解して分担を設計する</t>
        </is>
      </c>
      <c r="F44" s="36" t="inlineStr">
        <is>
          <t>50項目前後の家事一覧に担当が割り当てられ、見える場所にある</t>
        </is>
      </c>
      <c r="G44" s="36" t="inlineStr">
        <is>
          <t>名前のない家事まで洗い出せているか</t>
        </is>
      </c>
      <c r="H44" s="36" t="inlineStr">
        <is>
          <t>曜日固定／得意分野で分ける／週替わり／外注する</t>
        </is>
      </c>
      <c r="I44" s="36" t="inlineStr">
        <is>
          <t>「ゴミ出しをする」だけでなく、袋の補充・分別・収集日の把握・ゴミ箱の掃除まで別タスク。40〜60項目に分解すると偏りが見える</t>
        </is>
      </c>
      <c r="J44" s="33" t="n">
        <v>2</v>
      </c>
      <c r="K44" s="37">
        <f>EDATE('はじめに'!$C$5,J44)</f>
        <v/>
      </c>
      <c r="L44" s="33" t="inlineStr">
        <is>
          <t>推奨</t>
        </is>
      </c>
      <c r="M44" s="33" t="inlineStr">
        <is>
          <t>2人</t>
        </is>
      </c>
      <c r="N44" s="33" t="inlineStr">
        <is>
          <t>3時間</t>
        </is>
      </c>
      <c r="O44" s="36" t="inlineStr"/>
      <c r="P44" s="36" t="inlineStr"/>
      <c r="Q44" s="38" t="inlineStr">
        <is>
          <t>未着手</t>
        </is>
      </c>
      <c r="R44" s="28" t="inlineStr"/>
    </row>
    <row r="45" outlineLevel="1">
      <c r="A45" s="42" t="inlineStr">
        <is>
          <t>P1-07-01</t>
        </is>
      </c>
      <c r="B45" s="42" t="inlineStr">
        <is>
          <t>P1</t>
        </is>
      </c>
      <c r="C45" s="43" t="inlineStr">
        <is>
          <t>家事</t>
        </is>
      </c>
      <c r="D45" s="42" t="n">
        <v>3</v>
      </c>
      <c r="E45" s="44" t="inlineStr">
        <is>
          <t>家事を50項目に分解して書き出す（名前のない家事を含む）</t>
        </is>
      </c>
      <c r="F45" s="45" t="inlineStr">
        <is>
          <t>一覧ができている</t>
        </is>
      </c>
      <c r="G45" s="45" t="inlineStr"/>
      <c r="H45" s="45" t="inlineStr"/>
      <c r="I45" s="45" t="inlineStr"/>
      <c r="J45" s="42" t="n">
        <v>2</v>
      </c>
      <c r="K45" s="46">
        <f>EDATE('はじめに'!$C$5,J45)</f>
        <v/>
      </c>
      <c r="L45" s="42" t="inlineStr">
        <is>
          <t>推奨</t>
        </is>
      </c>
      <c r="M45" s="42" t="inlineStr">
        <is>
          <t>2人</t>
        </is>
      </c>
      <c r="N45" s="42" t="inlineStr">
        <is>
          <t>1時間</t>
        </is>
      </c>
      <c r="O45" s="45" t="inlineStr"/>
      <c r="P45" s="45" t="inlineStr"/>
      <c r="Q45" s="38" t="inlineStr">
        <is>
          <t>未着手</t>
        </is>
      </c>
      <c r="R45" s="28" t="inlineStr"/>
    </row>
    <row r="46" outlineLevel="1">
      <c r="A46" s="39" t="inlineStr">
        <is>
          <t>P1-07-02</t>
        </is>
      </c>
      <c r="B46" s="39" t="inlineStr">
        <is>
          <t>P1</t>
        </is>
      </c>
      <c r="C46" s="22" t="inlineStr">
        <is>
          <t>家事</t>
        </is>
      </c>
      <c r="D46" s="39" t="n">
        <v>3</v>
      </c>
      <c r="E46" s="40" t="inlineStr">
        <is>
          <t>各項目に頻度と所要時間を入れて、合計時間を出す</t>
        </is>
      </c>
      <c r="F46" s="24" t="inlineStr">
        <is>
          <t>週あたりの総家事時間が数字で出ている</t>
        </is>
      </c>
      <c r="G46" s="24" t="inlineStr"/>
      <c r="H46" s="24" t="inlineStr"/>
      <c r="I46" s="24" t="inlineStr"/>
      <c r="J46" s="39" t="n">
        <v>2</v>
      </c>
      <c r="K46" s="41">
        <f>EDATE('はじめに'!$C$5,J46)</f>
        <v/>
      </c>
      <c r="L46" s="39" t="inlineStr">
        <is>
          <t>推奨</t>
        </is>
      </c>
      <c r="M46" s="39" t="inlineStr">
        <is>
          <t>2人</t>
        </is>
      </c>
      <c r="N46" s="39" t="inlineStr">
        <is>
          <t>1時間</t>
        </is>
      </c>
      <c r="O46" s="24" t="inlineStr"/>
      <c r="P46" s="24" t="inlineStr"/>
      <c r="Q46" s="38" t="inlineStr">
        <is>
          <t>未着手</t>
        </is>
      </c>
      <c r="R46" s="28" t="inlineStr"/>
    </row>
    <row r="47" outlineLevel="1">
      <c r="A47" s="42" t="inlineStr">
        <is>
          <t>P1-07-03</t>
        </is>
      </c>
      <c r="B47" s="42" t="inlineStr">
        <is>
          <t>P1</t>
        </is>
      </c>
      <c r="C47" s="43" t="inlineStr">
        <is>
          <t>家事</t>
        </is>
      </c>
      <c r="D47" s="42" t="n">
        <v>3</v>
      </c>
      <c r="E47" s="44" t="inlineStr">
        <is>
          <t>担当を割り当て、合計時間が偏っていないか確認する</t>
        </is>
      </c>
      <c r="F47" s="45" t="inlineStr">
        <is>
          <t>各自の週あたり家事時間が近い</t>
        </is>
      </c>
      <c r="G47" s="45" t="inlineStr"/>
      <c r="H47" s="45" t="inlineStr"/>
      <c r="I47" s="45" t="inlineStr"/>
      <c r="J47" s="42" t="n">
        <v>2</v>
      </c>
      <c r="K47" s="46">
        <f>EDATE('はじめに'!$C$5,J47)</f>
        <v/>
      </c>
      <c r="L47" s="42" t="inlineStr">
        <is>
          <t>推奨</t>
        </is>
      </c>
      <c r="M47" s="42" t="inlineStr">
        <is>
          <t>2人</t>
        </is>
      </c>
      <c r="N47" s="42" t="inlineStr">
        <is>
          <t>30分</t>
        </is>
      </c>
      <c r="O47" s="45" t="inlineStr"/>
      <c r="P47" s="45" t="inlineStr"/>
      <c r="Q47" s="38" t="inlineStr">
        <is>
          <t>未着手</t>
        </is>
      </c>
      <c r="R47" s="28" t="inlineStr"/>
    </row>
    <row r="48" outlineLevel="1">
      <c r="A48" s="39" t="inlineStr">
        <is>
          <t>P1-07-04</t>
        </is>
      </c>
      <c r="B48" s="39" t="inlineStr">
        <is>
          <t>P1</t>
        </is>
      </c>
      <c r="C48" s="22" t="inlineStr">
        <is>
          <t>家事</t>
        </is>
      </c>
      <c r="D48" s="39" t="n">
        <v>3</v>
      </c>
      <c r="E48" s="40" t="inlineStr">
        <is>
          <t>外注・家電に任せる項目を決める</t>
        </is>
      </c>
      <c r="F48" s="24" t="inlineStr">
        <is>
          <t>人がやらない項目が決まっている</t>
        </is>
      </c>
      <c r="G48" s="24" t="inlineStr"/>
      <c r="H48" s="24" t="inlineStr"/>
      <c r="I48" s="24" t="inlineStr"/>
      <c r="J48" s="39" t="n">
        <v>2</v>
      </c>
      <c r="K48" s="41">
        <f>EDATE('はじめに'!$C$5,J48)</f>
        <v/>
      </c>
      <c r="L48" s="39" t="inlineStr">
        <is>
          <t>任意</t>
        </is>
      </c>
      <c r="M48" s="39" t="inlineStr">
        <is>
          <t>2人</t>
        </is>
      </c>
      <c r="N48" s="39" t="inlineStr">
        <is>
          <t>30分</t>
        </is>
      </c>
      <c r="O48" s="24" t="inlineStr"/>
      <c r="P48" s="24" t="inlineStr"/>
      <c r="Q48" s="38" t="inlineStr">
        <is>
          <t>未着手</t>
        </is>
      </c>
      <c r="R48" s="28" t="inlineStr"/>
    </row>
    <row r="49" outlineLevel="1">
      <c r="A49" s="42" t="inlineStr">
        <is>
          <t>P1-07-05</t>
        </is>
      </c>
      <c r="B49" s="42" t="inlineStr">
        <is>
          <t>P1</t>
        </is>
      </c>
      <c r="C49" s="43" t="inlineStr">
        <is>
          <t>家事</t>
        </is>
      </c>
      <c r="D49" s="42" t="n">
        <v>3</v>
      </c>
      <c r="E49" s="44" t="inlineStr">
        <is>
          <t>分担表を冷蔵庫か共有アプリに置く</t>
        </is>
      </c>
      <c r="F49" s="45" t="inlineStr">
        <is>
          <t>いつでも参照できる</t>
        </is>
      </c>
      <c r="G49" s="45" t="inlineStr"/>
      <c r="H49" s="45" t="inlineStr"/>
      <c r="I49" s="45" t="inlineStr"/>
      <c r="J49" s="42" t="n">
        <v>2</v>
      </c>
      <c r="K49" s="46">
        <f>EDATE('はじめに'!$C$5,J49)</f>
        <v/>
      </c>
      <c r="L49" s="42" t="inlineStr">
        <is>
          <t>推奨</t>
        </is>
      </c>
      <c r="M49" s="42" t="inlineStr">
        <is>
          <t>どちらか</t>
        </is>
      </c>
      <c r="N49" s="42" t="inlineStr">
        <is>
          <t>15分</t>
        </is>
      </c>
      <c r="O49" s="45" t="inlineStr"/>
      <c r="P49" s="45" t="inlineStr"/>
      <c r="Q49" s="38" t="inlineStr">
        <is>
          <t>未着手</t>
        </is>
      </c>
      <c r="R49" s="28" t="inlineStr"/>
    </row>
    <row r="50">
      <c r="A50" s="33" t="inlineStr">
        <is>
          <t>P1-08</t>
        </is>
      </c>
      <c r="B50" s="33" t="inlineStr">
        <is>
          <t>P1</t>
        </is>
      </c>
      <c r="C50" s="34" t="inlineStr">
        <is>
          <t>手続き</t>
        </is>
      </c>
      <c r="D50" s="33" t="n">
        <v>2</v>
      </c>
      <c r="E50" s="35" t="inlineStr">
        <is>
          <t>引越しと住民票まわりの手続きを完了する</t>
        </is>
      </c>
      <c r="F50" s="36" t="inlineStr">
        <is>
          <t>住民票が新住所になり、ライフラインが全て開通している</t>
        </is>
      </c>
      <c r="G50" s="36" t="inlineStr"/>
      <c r="H50" s="36" t="inlineStr"/>
      <c r="I50" s="36" t="inlineStr"/>
      <c r="J50" s="33" t="n">
        <v>2</v>
      </c>
      <c r="K50" s="37">
        <f>EDATE('はじめに'!$C$5,J50)</f>
        <v/>
      </c>
      <c r="L50" s="33" t="inlineStr">
        <is>
          <t>法定</t>
        </is>
      </c>
      <c r="M50" s="33" t="inlineStr">
        <is>
          <t>2人</t>
        </is>
      </c>
      <c r="N50" s="33" t="inlineStr">
        <is>
          <t>1〜2週間</t>
        </is>
      </c>
      <c r="O50" s="36" t="inlineStr">
        <is>
          <t>8〜20万円</t>
        </is>
      </c>
      <c r="P50" s="36" t="inlineStr">
        <is>
          <t>賃貸借契約</t>
        </is>
      </c>
      <c r="Q50" s="38" t="inlineStr">
        <is>
          <t>未着手</t>
        </is>
      </c>
      <c r="R50" s="28" t="inlineStr"/>
    </row>
    <row r="51" outlineLevel="1">
      <c r="A51" s="42" t="inlineStr">
        <is>
          <t>P1-08-01</t>
        </is>
      </c>
      <c r="B51" s="42" t="inlineStr">
        <is>
          <t>P1</t>
        </is>
      </c>
      <c r="C51" s="43" t="inlineStr">
        <is>
          <t>手続き</t>
        </is>
      </c>
      <c r="D51" s="42" t="n">
        <v>3</v>
      </c>
      <c r="E51" s="44" t="inlineStr">
        <is>
          <t>引越し日を決める（繁忙期3〜4月は費用2〜3倍）</t>
        </is>
      </c>
      <c r="F51" s="45" t="inlineStr">
        <is>
          <t>日程が確定している</t>
        </is>
      </c>
      <c r="G51" s="45" t="inlineStr"/>
      <c r="H51" s="45" t="inlineStr"/>
      <c r="I51" s="45" t="inlineStr"/>
      <c r="J51" s="42" t="n">
        <v>1</v>
      </c>
      <c r="K51" s="46">
        <f>EDATE('はじめに'!$C$5,J51)</f>
        <v/>
      </c>
      <c r="L51" s="42" t="inlineStr">
        <is>
          <t>推奨</t>
        </is>
      </c>
      <c r="M51" s="42" t="inlineStr">
        <is>
          <t>2人</t>
        </is>
      </c>
      <c r="N51" s="42" t="inlineStr">
        <is>
          <t>30分</t>
        </is>
      </c>
      <c r="O51" s="45" t="inlineStr"/>
      <c r="P51" s="45" t="inlineStr"/>
      <c r="Q51" s="38" t="inlineStr">
        <is>
          <t>未着手</t>
        </is>
      </c>
      <c r="R51" s="28" t="inlineStr"/>
    </row>
    <row r="52" outlineLevel="1">
      <c r="A52" s="39" t="inlineStr">
        <is>
          <t>P1-08-02</t>
        </is>
      </c>
      <c r="B52" s="39" t="inlineStr">
        <is>
          <t>P1</t>
        </is>
      </c>
      <c r="C52" s="22" t="inlineStr">
        <is>
          <t>手続き</t>
        </is>
      </c>
      <c r="D52" s="39" t="n">
        <v>3</v>
      </c>
      <c r="E52" s="40" t="inlineStr">
        <is>
          <t>一括見積で引越し業者を3社比較して予約する</t>
        </is>
      </c>
      <c r="F52" s="24" t="inlineStr">
        <is>
          <t>業者が確定している</t>
        </is>
      </c>
      <c r="G52" s="24" t="inlineStr"/>
      <c r="H52" s="24" t="inlineStr"/>
      <c r="I52" s="24" t="inlineStr"/>
      <c r="J52" s="39" t="n">
        <v>1</v>
      </c>
      <c r="K52" s="41">
        <f>EDATE('はじめに'!$C$5,J52)</f>
        <v/>
      </c>
      <c r="L52" s="39" t="inlineStr">
        <is>
          <t>推奨</t>
        </is>
      </c>
      <c r="M52" s="39" t="inlineStr">
        <is>
          <t>どちらか</t>
        </is>
      </c>
      <c r="N52" s="39" t="inlineStr">
        <is>
          <t>2時間</t>
        </is>
      </c>
      <c r="O52" s="24" t="inlineStr"/>
      <c r="P52" s="24" t="inlineStr"/>
      <c r="Q52" s="38" t="inlineStr">
        <is>
          <t>未着手</t>
        </is>
      </c>
      <c r="R52" s="28" t="inlineStr"/>
    </row>
    <row r="53" outlineLevel="1">
      <c r="A53" s="42" t="inlineStr">
        <is>
          <t>P1-08-03</t>
        </is>
      </c>
      <c r="B53" s="42" t="inlineStr">
        <is>
          <t>P1</t>
        </is>
      </c>
      <c r="C53" s="43" t="inlineStr">
        <is>
          <t>手続き</t>
        </is>
      </c>
      <c r="D53" s="42" t="n">
        <v>3</v>
      </c>
      <c r="E53" s="44" t="inlineStr">
        <is>
          <t>不用品の処分（粗大ゴミの予約は2週間前が目安）</t>
        </is>
      </c>
      <c r="F53" s="45" t="inlineStr">
        <is>
          <t>処分が完了している</t>
        </is>
      </c>
      <c r="G53" s="45" t="inlineStr"/>
      <c r="H53" s="45" t="inlineStr"/>
      <c r="I53" s="45" t="inlineStr"/>
      <c r="J53" s="42" t="n">
        <v>1</v>
      </c>
      <c r="K53" s="46">
        <f>EDATE('はじめに'!$C$5,J53)</f>
        <v/>
      </c>
      <c r="L53" s="42" t="inlineStr">
        <is>
          <t>推奨</t>
        </is>
      </c>
      <c r="M53" s="42" t="inlineStr">
        <is>
          <t>2人</t>
        </is>
      </c>
      <c r="N53" s="42" t="inlineStr">
        <is>
          <t>1週間</t>
        </is>
      </c>
      <c r="O53" s="45" t="inlineStr"/>
      <c r="P53" s="45" t="inlineStr"/>
      <c r="Q53" s="38" t="inlineStr">
        <is>
          <t>未着手</t>
        </is>
      </c>
      <c r="R53" s="28" t="inlineStr"/>
    </row>
    <row r="54" outlineLevel="1">
      <c r="A54" s="39" t="inlineStr">
        <is>
          <t>P1-08-04</t>
        </is>
      </c>
      <c r="B54" s="39" t="inlineStr">
        <is>
          <t>P1</t>
        </is>
      </c>
      <c r="C54" s="22" t="inlineStr">
        <is>
          <t>手続き</t>
        </is>
      </c>
      <c r="D54" s="39" t="n">
        <v>3</v>
      </c>
      <c r="E54" s="40" t="inlineStr">
        <is>
          <t>電気・ガス・水道の停止と開始（ガスの開栓は立会いが必要）</t>
        </is>
      </c>
      <c r="F54" s="24" t="inlineStr">
        <is>
          <t>全て開通している</t>
        </is>
      </c>
      <c r="G54" s="24" t="inlineStr"/>
      <c r="H54" s="24" t="inlineStr"/>
      <c r="I54" s="24" t="inlineStr"/>
      <c r="J54" s="39" t="n">
        <v>2</v>
      </c>
      <c r="K54" s="41">
        <f>EDATE('はじめに'!$C$5,J54)</f>
        <v/>
      </c>
      <c r="L54" s="39" t="inlineStr">
        <is>
          <t>法定</t>
        </is>
      </c>
      <c r="M54" s="39" t="inlineStr">
        <is>
          <t>2人</t>
        </is>
      </c>
      <c r="N54" s="39" t="inlineStr">
        <is>
          <t>1時間</t>
        </is>
      </c>
      <c r="O54" s="24" t="inlineStr"/>
      <c r="P54" s="24" t="inlineStr"/>
      <c r="Q54" s="38" t="inlineStr">
        <is>
          <t>未着手</t>
        </is>
      </c>
      <c r="R54" s="28" t="inlineStr"/>
    </row>
    <row r="55" outlineLevel="1">
      <c r="A55" s="42" t="inlineStr">
        <is>
          <t>P1-08-05</t>
        </is>
      </c>
      <c r="B55" s="42" t="inlineStr">
        <is>
          <t>P1</t>
        </is>
      </c>
      <c r="C55" s="43" t="inlineStr">
        <is>
          <t>手続き</t>
        </is>
      </c>
      <c r="D55" s="42" t="n">
        <v>3</v>
      </c>
      <c r="E55" s="44" t="inlineStr">
        <is>
          <t>インターネット回線を申し込む（開通まで2週間〜1ヶ月かかる）</t>
        </is>
      </c>
      <c r="F55" s="45" t="inlineStr">
        <is>
          <t>開通日が決まっている</t>
        </is>
      </c>
      <c r="G55" s="45" t="inlineStr"/>
      <c r="H55" s="45" t="inlineStr"/>
      <c r="I55" s="45" t="inlineStr"/>
      <c r="J55" s="42" t="n">
        <v>1</v>
      </c>
      <c r="K55" s="46">
        <f>EDATE('はじめに'!$C$5,J55)</f>
        <v/>
      </c>
      <c r="L55" s="42" t="inlineStr">
        <is>
          <t>推奨</t>
        </is>
      </c>
      <c r="M55" s="42" t="inlineStr">
        <is>
          <t>どちらか</t>
        </is>
      </c>
      <c r="N55" s="42" t="inlineStr">
        <is>
          <t>1時間</t>
        </is>
      </c>
      <c r="O55" s="45" t="inlineStr"/>
      <c r="P55" s="45" t="inlineStr"/>
      <c r="Q55" s="38" t="inlineStr">
        <is>
          <t>未着手</t>
        </is>
      </c>
      <c r="R55" s="28" t="inlineStr"/>
    </row>
    <row r="56" outlineLevel="1">
      <c r="A56" s="39" t="inlineStr">
        <is>
          <t>P1-08-06</t>
        </is>
      </c>
      <c r="B56" s="39" t="inlineStr">
        <is>
          <t>P1</t>
        </is>
      </c>
      <c r="C56" s="22" t="inlineStr">
        <is>
          <t>手続き</t>
        </is>
      </c>
      <c r="D56" s="39" t="n">
        <v>3</v>
      </c>
      <c r="E56" s="40" t="inlineStr">
        <is>
          <t>郵便物の転送届を出す</t>
        </is>
      </c>
      <c r="F56" s="24" t="inlineStr">
        <is>
          <t>転送が設定されている</t>
        </is>
      </c>
      <c r="G56" s="24" t="inlineStr"/>
      <c r="H56" s="24" t="inlineStr"/>
      <c r="I56" s="24" t="inlineStr"/>
      <c r="J56" s="39" t="n">
        <v>2</v>
      </c>
      <c r="K56" s="41">
        <f>EDATE('はじめに'!$C$5,J56)</f>
        <v/>
      </c>
      <c r="L56" s="39" t="inlineStr">
        <is>
          <t>推奨</t>
        </is>
      </c>
      <c r="M56" s="39" t="inlineStr">
        <is>
          <t>2人</t>
        </is>
      </c>
      <c r="N56" s="39" t="inlineStr">
        <is>
          <t>15分</t>
        </is>
      </c>
      <c r="O56" s="24" t="inlineStr"/>
      <c r="P56" s="24" t="inlineStr"/>
      <c r="Q56" s="38" t="inlineStr">
        <is>
          <t>未着手</t>
        </is>
      </c>
      <c r="R56" s="28" t="inlineStr"/>
    </row>
    <row r="57" outlineLevel="1">
      <c r="A57" s="42" t="inlineStr">
        <is>
          <t>P1-08-07</t>
        </is>
      </c>
      <c r="B57" s="42" t="inlineStr">
        <is>
          <t>P1</t>
        </is>
      </c>
      <c r="C57" s="43" t="inlineStr">
        <is>
          <t>手続き</t>
        </is>
      </c>
      <c r="D57" s="42" t="n">
        <v>3</v>
      </c>
      <c r="E57" s="44" t="inlineStr">
        <is>
          <t>転出届（旧住所）を出す</t>
        </is>
      </c>
      <c r="F57" s="45" t="inlineStr">
        <is>
          <t>転出証明書を受け取っている</t>
        </is>
      </c>
      <c r="G57" s="45" t="inlineStr"/>
      <c r="H57" s="45" t="inlineStr"/>
      <c r="I57" s="45" t="inlineStr"/>
      <c r="J57" s="42" t="n">
        <v>2</v>
      </c>
      <c r="K57" s="46">
        <f>EDATE('はじめに'!$C$5,J57)</f>
        <v/>
      </c>
      <c r="L57" s="42" t="inlineStr">
        <is>
          <t>法定</t>
        </is>
      </c>
      <c r="M57" s="42" t="inlineStr">
        <is>
          <t>2人</t>
        </is>
      </c>
      <c r="N57" s="42" t="inlineStr">
        <is>
          <t>1時間</t>
        </is>
      </c>
      <c r="O57" s="45" t="inlineStr"/>
      <c r="P57" s="45" t="inlineStr"/>
      <c r="Q57" s="38" t="inlineStr">
        <is>
          <t>未着手</t>
        </is>
      </c>
      <c r="R57" s="28" t="inlineStr"/>
    </row>
    <row r="58" outlineLevel="1">
      <c r="A58" s="39" t="inlineStr">
        <is>
          <t>P1-08-08</t>
        </is>
      </c>
      <c r="B58" s="39" t="inlineStr">
        <is>
          <t>P1</t>
        </is>
      </c>
      <c r="C58" s="22" t="inlineStr">
        <is>
          <t>手続き</t>
        </is>
      </c>
      <c r="D58" s="39" t="n">
        <v>3</v>
      </c>
      <c r="E58" s="40" t="inlineStr">
        <is>
          <t>転入届を出す（引越しから14日以内）</t>
        </is>
      </c>
      <c r="F58" s="24" t="inlineStr">
        <is>
          <t>新住所の住民票が取れる</t>
        </is>
      </c>
      <c r="G58" s="24" t="inlineStr"/>
      <c r="H58" s="24" t="inlineStr"/>
      <c r="I58" s="24" t="inlineStr"/>
      <c r="J58" s="39" t="n">
        <v>2</v>
      </c>
      <c r="K58" s="41">
        <f>EDATE('はじめに'!$C$5,J58)</f>
        <v/>
      </c>
      <c r="L58" s="39" t="inlineStr">
        <is>
          <t>法定</t>
        </is>
      </c>
      <c r="M58" s="39" t="inlineStr">
        <is>
          <t>2人</t>
        </is>
      </c>
      <c r="N58" s="39" t="inlineStr">
        <is>
          <t>1時間</t>
        </is>
      </c>
      <c r="O58" s="24" t="inlineStr"/>
      <c r="P58" s="24" t="inlineStr"/>
      <c r="Q58" s="38" t="inlineStr">
        <is>
          <t>未着手</t>
        </is>
      </c>
      <c r="R58" s="28" t="inlineStr"/>
    </row>
    <row r="59" outlineLevel="1">
      <c r="A59" s="42" t="inlineStr">
        <is>
          <t>P1-08-09</t>
        </is>
      </c>
      <c r="B59" s="42" t="inlineStr">
        <is>
          <t>P1</t>
        </is>
      </c>
      <c r="C59" s="43" t="inlineStr">
        <is>
          <t>手続き</t>
        </is>
      </c>
      <c r="D59" s="42" t="n">
        <v>3</v>
      </c>
      <c r="E59" s="44" t="inlineStr">
        <is>
          <t>世帯を同一にするか別世帯にするか決めて届け出る</t>
        </is>
      </c>
      <c r="F59" s="45" t="inlineStr">
        <is>
          <t>世帯構成が決まっている</t>
        </is>
      </c>
      <c r="G59" s="45" t="inlineStr">
        <is>
          <t>同一世帯にするか、世帯分離のままにするか</t>
        </is>
      </c>
      <c r="H59" s="45" t="inlineStr">
        <is>
          <t>同一世帯（世帯主＋同居人）／別世帯のまま</t>
        </is>
      </c>
      <c r="I59" s="45" t="inlineStr">
        <is>
          <t>国民健康保険料や各種助成の判定が世帯単位のことがある。会社の家賃補助の条件にも影響する</t>
        </is>
      </c>
      <c r="J59" s="42" t="n">
        <v>2</v>
      </c>
      <c r="K59" s="46">
        <f>EDATE('はじめに'!$C$5,J59)</f>
        <v/>
      </c>
      <c r="L59" s="42" t="inlineStr">
        <is>
          <t>法定</t>
        </is>
      </c>
      <c r="M59" s="42" t="inlineStr">
        <is>
          <t>2人</t>
        </is>
      </c>
      <c r="N59" s="42" t="inlineStr">
        <is>
          <t>30分</t>
        </is>
      </c>
      <c r="O59" s="45" t="inlineStr"/>
      <c r="P59" s="45" t="inlineStr"/>
      <c r="Q59" s="38" t="inlineStr">
        <is>
          <t>未着手</t>
        </is>
      </c>
      <c r="R59" s="28" t="inlineStr"/>
    </row>
    <row r="60" outlineLevel="1">
      <c r="A60" s="39" t="inlineStr">
        <is>
          <t>P1-08-10</t>
        </is>
      </c>
      <c r="B60" s="39" t="inlineStr">
        <is>
          <t>P1</t>
        </is>
      </c>
      <c r="C60" s="22" t="inlineStr">
        <is>
          <t>手続き</t>
        </is>
      </c>
      <c r="D60" s="39" t="n">
        <v>3</v>
      </c>
      <c r="E60" s="40" t="inlineStr">
        <is>
          <t>マイナンバーカードの住所変更（転入から90日以内）</t>
        </is>
      </c>
      <c r="F60" s="24" t="inlineStr">
        <is>
          <t>カードに新住所が記載されている</t>
        </is>
      </c>
      <c r="G60" s="24" t="inlineStr"/>
      <c r="H60" s="24" t="inlineStr"/>
      <c r="I60" s="24" t="inlineStr"/>
      <c r="J60" s="39" t="n">
        <v>2</v>
      </c>
      <c r="K60" s="41">
        <f>EDATE('はじめに'!$C$5,J60)</f>
        <v/>
      </c>
      <c r="L60" s="39" t="inlineStr">
        <is>
          <t>法定</t>
        </is>
      </c>
      <c r="M60" s="39" t="inlineStr">
        <is>
          <t>2人</t>
        </is>
      </c>
      <c r="N60" s="39" t="inlineStr">
        <is>
          <t>30分</t>
        </is>
      </c>
      <c r="O60" s="24" t="inlineStr"/>
      <c r="P60" s="24" t="inlineStr"/>
      <c r="Q60" s="38" t="inlineStr">
        <is>
          <t>未着手</t>
        </is>
      </c>
      <c r="R60" s="28" t="inlineStr"/>
    </row>
    <row r="61" outlineLevel="1">
      <c r="A61" s="42" t="inlineStr">
        <is>
          <t>P1-08-11</t>
        </is>
      </c>
      <c r="B61" s="42" t="inlineStr">
        <is>
          <t>P1</t>
        </is>
      </c>
      <c r="C61" s="43" t="inlineStr">
        <is>
          <t>手続き</t>
        </is>
      </c>
      <c r="D61" s="42" t="n">
        <v>3</v>
      </c>
      <c r="E61" s="44" t="inlineStr">
        <is>
          <t>運転免許証の住所変更</t>
        </is>
      </c>
      <c r="F61" s="45" t="inlineStr">
        <is>
          <t>免許証が新住所になっている</t>
        </is>
      </c>
      <c r="G61" s="45" t="inlineStr"/>
      <c r="H61" s="45" t="inlineStr"/>
      <c r="I61" s="45" t="inlineStr"/>
      <c r="J61" s="42" t="n">
        <v>2</v>
      </c>
      <c r="K61" s="46">
        <f>EDATE('はじめに'!$C$5,J61)</f>
        <v/>
      </c>
      <c r="L61" s="42" t="inlineStr">
        <is>
          <t>法定</t>
        </is>
      </c>
      <c r="M61" s="42" t="inlineStr">
        <is>
          <t>2人</t>
        </is>
      </c>
      <c r="N61" s="42" t="inlineStr">
        <is>
          <t>1時間</t>
        </is>
      </c>
      <c r="O61" s="45" t="inlineStr"/>
      <c r="P61" s="45" t="inlineStr"/>
      <c r="Q61" s="38" t="inlineStr">
        <is>
          <t>未着手</t>
        </is>
      </c>
      <c r="R61" s="28" t="inlineStr"/>
    </row>
    <row r="62" outlineLevel="1">
      <c r="A62" s="39" t="inlineStr">
        <is>
          <t>P1-08-12</t>
        </is>
      </c>
      <c r="B62" s="39" t="inlineStr">
        <is>
          <t>P1</t>
        </is>
      </c>
      <c r="C62" s="22" t="inlineStr">
        <is>
          <t>手続き</t>
        </is>
      </c>
      <c r="D62" s="39" t="n">
        <v>3</v>
      </c>
      <c r="E62" s="40" t="inlineStr">
        <is>
          <t>火災保険・家財保険に加入する（個人賠償責任特約の有無を確認）</t>
        </is>
      </c>
      <c r="F62" s="24" t="inlineStr">
        <is>
          <t>証券が手元にある</t>
        </is>
      </c>
      <c r="G62" s="24" t="inlineStr"/>
      <c r="H62" s="24" t="inlineStr"/>
      <c r="I62" s="24" t="inlineStr"/>
      <c r="J62" s="39" t="n">
        <v>2</v>
      </c>
      <c r="K62" s="41">
        <f>EDATE('はじめに'!$C$5,J62)</f>
        <v/>
      </c>
      <c r="L62" s="39" t="inlineStr">
        <is>
          <t>推奨</t>
        </is>
      </c>
      <c r="M62" s="39" t="inlineStr">
        <is>
          <t>どちらか</t>
        </is>
      </c>
      <c r="N62" s="39" t="inlineStr">
        <is>
          <t>1時間</t>
        </is>
      </c>
      <c r="O62" s="24" t="inlineStr">
        <is>
          <t>1〜2万円/2年</t>
        </is>
      </c>
      <c r="P62" s="24" t="inlineStr"/>
      <c r="Q62" s="38" t="inlineStr">
        <is>
          <t>未着手</t>
        </is>
      </c>
      <c r="R62" s="28" t="inlineStr"/>
    </row>
    <row r="63">
      <c r="A63" s="33" t="inlineStr">
        <is>
          <t>P1-09</t>
        </is>
      </c>
      <c r="B63" s="33" t="inlineStr">
        <is>
          <t>P1</t>
        </is>
      </c>
      <c r="C63" s="34" t="inlineStr">
        <is>
          <t>住まい</t>
        </is>
      </c>
      <c r="D63" s="33" t="n">
        <v>2</v>
      </c>
      <c r="E63" s="35" t="inlineStr">
        <is>
          <t>家具・家電を揃える</t>
        </is>
      </c>
      <c r="F63" s="36" t="inlineStr">
        <is>
          <t>生活が始められる状態になっている</t>
        </is>
      </c>
      <c r="G63" s="36" t="inlineStr">
        <is>
          <t>どちらが買うか、時短家電を今入れるか</t>
        </is>
      </c>
      <c r="H63" s="36" t="inlineStr">
        <is>
          <t>新規購入／どちらかの物を持ち込み／レンタル（CLAS、subsclife）</t>
        </is>
      </c>
      <c r="I63" s="36" t="inlineStr">
        <is>
          <t>ドラム式洗濯乾燥機と食洗機は産後の最重要投資。ここで入れておくと後が圧倒的に楽。設置工事は納期がかかる</t>
        </is>
      </c>
      <c r="J63" s="33" t="n">
        <v>2</v>
      </c>
      <c r="K63" s="37">
        <f>EDATE('はじめに'!$C$5,J63)</f>
        <v/>
      </c>
      <c r="L63" s="33" t="inlineStr">
        <is>
          <t>推奨</t>
        </is>
      </c>
      <c r="M63" s="33" t="inlineStr">
        <is>
          <t>2人</t>
        </is>
      </c>
      <c r="N63" s="33" t="inlineStr">
        <is>
          <t>2週間</t>
        </is>
      </c>
      <c r="O63" s="36" t="inlineStr">
        <is>
          <t>20〜50万円</t>
        </is>
      </c>
      <c r="P63" s="36" t="inlineStr">
        <is>
          <t>賃貸借契約</t>
        </is>
      </c>
      <c r="Q63" s="38" t="inlineStr">
        <is>
          <t>未着手</t>
        </is>
      </c>
      <c r="R63" s="28" t="inlineStr"/>
    </row>
    <row r="64" outlineLevel="1">
      <c r="A64" s="39" t="inlineStr">
        <is>
          <t>P1-09-01</t>
        </is>
      </c>
      <c r="B64" s="39" t="inlineStr">
        <is>
          <t>P1</t>
        </is>
      </c>
      <c r="C64" s="22" t="inlineStr">
        <is>
          <t>住まい</t>
        </is>
      </c>
      <c r="D64" s="39" t="n">
        <v>3</v>
      </c>
      <c r="E64" s="40" t="inlineStr">
        <is>
          <t>持ち寄る物と買う物を仕分ける</t>
        </is>
      </c>
      <c r="F64" s="24" t="inlineStr">
        <is>
          <t>買い物リストができている</t>
        </is>
      </c>
      <c r="G64" s="24" t="inlineStr"/>
      <c r="H64" s="24" t="inlineStr"/>
      <c r="I64" s="24" t="inlineStr"/>
      <c r="J64" s="39" t="n">
        <v>2</v>
      </c>
      <c r="K64" s="41">
        <f>EDATE('はじめに'!$C$5,J64)</f>
        <v/>
      </c>
      <c r="L64" s="39" t="inlineStr">
        <is>
          <t>推奨</t>
        </is>
      </c>
      <c r="M64" s="39" t="inlineStr">
        <is>
          <t>2人</t>
        </is>
      </c>
      <c r="N64" s="39" t="inlineStr">
        <is>
          <t>1時間</t>
        </is>
      </c>
      <c r="O64" s="24" t="inlineStr"/>
      <c r="P64" s="24" t="inlineStr"/>
      <c r="Q64" s="38" t="inlineStr">
        <is>
          <t>未着手</t>
        </is>
      </c>
      <c r="R64" s="28" t="inlineStr"/>
    </row>
    <row r="65" outlineLevel="1">
      <c r="A65" s="42" t="inlineStr">
        <is>
          <t>P1-09-02</t>
        </is>
      </c>
      <c r="B65" s="42" t="inlineStr">
        <is>
          <t>P1</t>
        </is>
      </c>
      <c r="C65" s="43" t="inlineStr">
        <is>
          <t>住まい</t>
        </is>
      </c>
      <c r="D65" s="42" t="n">
        <v>3</v>
      </c>
      <c r="E65" s="44" t="inlineStr">
        <is>
          <t>冷蔵庫・洗濯機・ベッドのサイズを搬入経路（玄関・廊下・階段）で確認する</t>
        </is>
      </c>
      <c r="F65" s="45" t="inlineStr">
        <is>
          <t>実測して入ることが確認できている</t>
        </is>
      </c>
      <c r="G65" s="45" t="inlineStr"/>
      <c r="H65" s="45" t="inlineStr"/>
      <c r="I65" s="45" t="inlineStr"/>
      <c r="J65" s="42" t="n">
        <v>2</v>
      </c>
      <c r="K65" s="46">
        <f>EDATE('はじめに'!$C$5,J65)</f>
        <v/>
      </c>
      <c r="L65" s="42" t="inlineStr">
        <is>
          <t>推奨</t>
        </is>
      </c>
      <c r="M65" s="42" t="inlineStr">
        <is>
          <t>2人</t>
        </is>
      </c>
      <c r="N65" s="42" t="inlineStr">
        <is>
          <t>1時間</t>
        </is>
      </c>
      <c r="O65" s="45" t="inlineStr"/>
      <c r="P65" s="45" t="inlineStr"/>
      <c r="Q65" s="38" t="inlineStr">
        <is>
          <t>未着手</t>
        </is>
      </c>
      <c r="R65" s="28" t="inlineStr"/>
    </row>
    <row r="66" outlineLevel="1">
      <c r="A66" s="39" t="inlineStr">
        <is>
          <t>P1-09-03</t>
        </is>
      </c>
      <c r="B66" s="39" t="inlineStr">
        <is>
          <t>P1</t>
        </is>
      </c>
      <c r="C66" s="22" t="inlineStr">
        <is>
          <t>住まい</t>
        </is>
      </c>
      <c r="D66" s="39" t="n">
        <v>3</v>
      </c>
      <c r="E66" s="40" t="inlineStr">
        <is>
          <t>時短家電（ドラム式・食洗機・ロボット掃除機）を今入れるか判断する</t>
        </is>
      </c>
      <c r="F66" s="24" t="inlineStr">
        <is>
          <t>入れる／入れないが決まっている</t>
        </is>
      </c>
      <c r="G66" s="24" t="inlineStr"/>
      <c r="H66" s="24" t="inlineStr"/>
      <c r="I66" s="24" t="inlineStr"/>
      <c r="J66" s="39" t="n">
        <v>2</v>
      </c>
      <c r="K66" s="41">
        <f>EDATE('はじめに'!$C$5,J66)</f>
        <v/>
      </c>
      <c r="L66" s="39" t="inlineStr">
        <is>
          <t>任意</t>
        </is>
      </c>
      <c r="M66" s="39" t="inlineStr">
        <is>
          <t>2人</t>
        </is>
      </c>
      <c r="N66" s="39" t="inlineStr">
        <is>
          <t>1時間</t>
        </is>
      </c>
      <c r="O66" s="24" t="inlineStr">
        <is>
          <t>15〜40万円</t>
        </is>
      </c>
      <c r="P66" s="24" t="inlineStr"/>
      <c r="Q66" s="38" t="inlineStr">
        <is>
          <t>未着手</t>
        </is>
      </c>
      <c r="R66" s="28" t="inlineStr"/>
    </row>
    <row r="67" outlineLevel="1">
      <c r="A67" s="42" t="inlineStr">
        <is>
          <t>P1-09-04</t>
        </is>
      </c>
      <c r="B67" s="42" t="inlineStr">
        <is>
          <t>P1</t>
        </is>
      </c>
      <c r="C67" s="43" t="inlineStr">
        <is>
          <t>住まい</t>
        </is>
      </c>
      <c r="D67" s="42" t="n">
        <v>3</v>
      </c>
      <c r="E67" s="44" t="inlineStr">
        <is>
          <t>購入と設置工事を予約する（食洗機の分岐水栓工事は要手配）</t>
        </is>
      </c>
      <c r="F67" s="45" t="inlineStr">
        <is>
          <t>設置日が決まっている</t>
        </is>
      </c>
      <c r="G67" s="45" t="inlineStr"/>
      <c r="H67" s="45" t="inlineStr"/>
      <c r="I67" s="45" t="inlineStr"/>
      <c r="J67" s="42" t="n">
        <v>2</v>
      </c>
      <c r="K67" s="46">
        <f>EDATE('はじめに'!$C$5,J67)</f>
        <v/>
      </c>
      <c r="L67" s="42" t="inlineStr">
        <is>
          <t>推奨</t>
        </is>
      </c>
      <c r="M67" s="42" t="inlineStr">
        <is>
          <t>どちらか</t>
        </is>
      </c>
      <c r="N67" s="42" t="inlineStr">
        <is>
          <t>2時間</t>
        </is>
      </c>
      <c r="O67" s="45" t="inlineStr"/>
      <c r="P67" s="45" t="inlineStr"/>
      <c r="Q67" s="38" t="inlineStr">
        <is>
          <t>未着手</t>
        </is>
      </c>
      <c r="R67" s="28" t="inlineStr"/>
    </row>
    <row r="68">
      <c r="A68" s="33" t="inlineStr">
        <is>
          <t>P1-10</t>
        </is>
      </c>
      <c r="B68" s="33" t="inlineStr">
        <is>
          <t>P1</t>
        </is>
      </c>
      <c r="C68" s="34" t="inlineStr">
        <is>
          <t>関係</t>
        </is>
      </c>
      <c r="D68" s="33" t="n">
        <v>2</v>
      </c>
      <c r="E68" s="35" t="inlineStr">
        <is>
          <t>両家への同棲報告</t>
        </is>
      </c>
      <c r="F68" s="36" t="inlineStr">
        <is>
          <t>報告の要否が決まり、必要な報告が済んでいる</t>
        </is>
      </c>
      <c r="G68" s="36" t="inlineStr">
        <is>
          <t>報告するか、するならどのタイミングか</t>
        </is>
      </c>
      <c r="H68" s="36" t="inlineStr">
        <is>
          <t>事前に報告／事後報告／結婚が決まってから</t>
        </is>
      </c>
      <c r="I68" s="36" t="inlineStr">
        <is>
          <t>相手の親の価値観による。報告しないことが後で不信につながるケースがある。各自が自分の実親に伝えるのが原則</t>
        </is>
      </c>
      <c r="J68" s="33" t="n">
        <v>2</v>
      </c>
      <c r="K68" s="37">
        <f>EDATE('はじめに'!$C$5,J68)</f>
        <v/>
      </c>
      <c r="L68" s="33" t="inlineStr">
        <is>
          <t>任意</t>
        </is>
      </c>
      <c r="M68" s="33" t="inlineStr">
        <is>
          <t>2人</t>
        </is>
      </c>
      <c r="N68" s="33" t="inlineStr">
        <is>
          <t>1週間</t>
        </is>
      </c>
      <c r="O68" s="36" t="inlineStr"/>
      <c r="P68" s="36" t="inlineStr"/>
      <c r="Q68" s="38" t="inlineStr">
        <is>
          <t>未着手</t>
        </is>
      </c>
      <c r="R68" s="28" t="inlineStr"/>
    </row>
    <row r="69" outlineLevel="1">
      <c r="A69" s="42" t="inlineStr">
        <is>
          <t>P1-10-01</t>
        </is>
      </c>
      <c r="B69" s="42" t="inlineStr">
        <is>
          <t>P1</t>
        </is>
      </c>
      <c r="C69" s="43" t="inlineStr">
        <is>
          <t>関係</t>
        </is>
      </c>
      <c r="D69" s="42" t="n">
        <v>3</v>
      </c>
      <c r="E69" s="44" t="inlineStr">
        <is>
          <t>各自が自分の実親の反応を予想して共有する</t>
        </is>
      </c>
      <c r="F69" s="45" t="inlineStr">
        <is>
          <t>想定される反応を2人が把握している</t>
        </is>
      </c>
      <c r="G69" s="45" t="inlineStr"/>
      <c r="H69" s="45" t="inlineStr"/>
      <c r="I69" s="45" t="inlineStr"/>
      <c r="J69" s="42" t="n">
        <v>2</v>
      </c>
      <c r="K69" s="46">
        <f>EDATE('はじめに'!$C$5,J69)</f>
        <v/>
      </c>
      <c r="L69" s="42" t="inlineStr">
        <is>
          <t>任意</t>
        </is>
      </c>
      <c r="M69" s="42" t="inlineStr">
        <is>
          <t>2人</t>
        </is>
      </c>
      <c r="N69" s="42" t="inlineStr">
        <is>
          <t>30分</t>
        </is>
      </c>
      <c r="O69" s="45" t="inlineStr"/>
      <c r="P69" s="45" t="inlineStr"/>
      <c r="Q69" s="38" t="inlineStr">
        <is>
          <t>未着手</t>
        </is>
      </c>
      <c r="R69" s="28" t="inlineStr"/>
    </row>
    <row r="70" outlineLevel="1">
      <c r="A70" s="39" t="inlineStr">
        <is>
          <t>P1-10-02</t>
        </is>
      </c>
      <c r="B70" s="39" t="inlineStr">
        <is>
          <t>P1</t>
        </is>
      </c>
      <c r="C70" s="22" t="inlineStr">
        <is>
          <t>関係</t>
        </is>
      </c>
      <c r="D70" s="39" t="n">
        <v>3</v>
      </c>
      <c r="E70" s="40" t="inlineStr">
        <is>
          <t>各自が自分の実親に伝える</t>
        </is>
      </c>
      <c r="F70" s="24" t="inlineStr">
        <is>
          <t>両家に伝わっている</t>
        </is>
      </c>
      <c r="G70" s="24" t="inlineStr"/>
      <c r="H70" s="24" t="inlineStr"/>
      <c r="I70" s="24" t="inlineStr"/>
      <c r="J70" s="39" t="n">
        <v>2</v>
      </c>
      <c r="K70" s="41">
        <f>EDATE('はじめに'!$C$5,J70)</f>
        <v/>
      </c>
      <c r="L70" s="39" t="inlineStr">
        <is>
          <t>任意</t>
        </is>
      </c>
      <c r="M70" s="39" t="inlineStr">
        <is>
          <t>2人</t>
        </is>
      </c>
      <c r="N70" s="39" t="inlineStr">
        <is>
          <t>1時間</t>
        </is>
      </c>
      <c r="O70" s="24" t="inlineStr"/>
      <c r="P70" s="24" t="inlineStr"/>
      <c r="Q70" s="38" t="inlineStr">
        <is>
          <t>未着手</t>
        </is>
      </c>
      <c r="R70" s="28" t="inlineStr"/>
    </row>
    <row r="71">
      <c r="A71" s="33" t="inlineStr">
        <is>
          <t>P2-01</t>
        </is>
      </c>
      <c r="B71" s="33" t="inlineStr">
        <is>
          <t>P2</t>
        </is>
      </c>
      <c r="C71" s="34" t="inlineStr">
        <is>
          <t>関係</t>
        </is>
      </c>
      <c r="D71" s="33" t="n">
        <v>2</v>
      </c>
      <c r="E71" s="35" t="inlineStr">
        <is>
          <t>週1回15分の夫婦ミーティングを習慣化する</t>
        </is>
      </c>
      <c r="F71" s="36" t="inlineStr">
        <is>
          <t>4週連続で実施できている</t>
        </is>
      </c>
      <c r="G71" s="36" t="inlineStr">
        <is>
          <t>何を議題にするか、いつやるか</t>
        </is>
      </c>
      <c r="H71" s="36" t="inlineStr">
        <is>
          <t>日曜夜／土曜朝／平日夜の固定枠</t>
        </is>
      </c>
      <c r="I71" s="36" t="inlineStr">
        <is>
          <t>この習慣があるかどうかが、産後の関係を最も左右する。定例化しないと必ず消える。議題を固定すると続く</t>
        </is>
      </c>
      <c r="J71" s="33" t="n">
        <v>3</v>
      </c>
      <c r="K71" s="37">
        <f>EDATE('はじめに'!$C$5,J71)</f>
        <v/>
      </c>
      <c r="L71" s="33" t="inlineStr">
        <is>
          <t>推奨</t>
        </is>
      </c>
      <c r="M71" s="33" t="inlineStr">
        <is>
          <t>2人</t>
        </is>
      </c>
      <c r="N71" s="33" t="inlineStr">
        <is>
          <t>15分/週</t>
        </is>
      </c>
      <c r="O71" s="36" t="inlineStr"/>
      <c r="P71" s="36" t="inlineStr"/>
      <c r="Q71" s="38" t="inlineStr">
        <is>
          <t>未着手</t>
        </is>
      </c>
      <c r="R71" s="28" t="inlineStr"/>
    </row>
    <row r="72" outlineLevel="1">
      <c r="A72" s="39" t="inlineStr">
        <is>
          <t>P2-01-01</t>
        </is>
      </c>
      <c r="B72" s="39" t="inlineStr">
        <is>
          <t>P2</t>
        </is>
      </c>
      <c r="C72" s="22" t="inlineStr">
        <is>
          <t>関係</t>
        </is>
      </c>
      <c r="D72" s="39" t="n">
        <v>3</v>
      </c>
      <c r="E72" s="40" t="inlineStr">
        <is>
          <t>議題テンプレートを作る（家事・お金・体調・来週の予定・言えていないこと）</t>
        </is>
      </c>
      <c r="F72" s="24" t="inlineStr">
        <is>
          <t>毎回同じ5項目で回せる</t>
        </is>
      </c>
      <c r="G72" s="24" t="inlineStr"/>
      <c r="H72" s="24" t="inlineStr"/>
      <c r="I72" s="24" t="inlineStr"/>
      <c r="J72" s="39" t="n">
        <v>3</v>
      </c>
      <c r="K72" s="41">
        <f>EDATE('はじめに'!$C$5,J72)</f>
        <v/>
      </c>
      <c r="L72" s="39" t="inlineStr">
        <is>
          <t>推奨</t>
        </is>
      </c>
      <c r="M72" s="39" t="inlineStr">
        <is>
          <t>2人</t>
        </is>
      </c>
      <c r="N72" s="39" t="inlineStr">
        <is>
          <t>30分</t>
        </is>
      </c>
      <c r="O72" s="24" t="inlineStr"/>
      <c r="P72" s="24" t="inlineStr"/>
      <c r="Q72" s="38" t="inlineStr">
        <is>
          <t>未着手</t>
        </is>
      </c>
      <c r="R72" s="28" t="inlineStr"/>
    </row>
    <row r="73" outlineLevel="1">
      <c r="A73" s="42" t="inlineStr">
        <is>
          <t>P2-01-02</t>
        </is>
      </c>
      <c r="B73" s="42" t="inlineStr">
        <is>
          <t>P2</t>
        </is>
      </c>
      <c r="C73" s="43" t="inlineStr">
        <is>
          <t>関係</t>
        </is>
      </c>
      <c r="D73" s="42" t="n">
        <v>3</v>
      </c>
      <c r="E73" s="44" t="inlineStr">
        <is>
          <t>曜日と時間を固定してカレンダーに繰り返し登録する</t>
        </is>
      </c>
      <c r="F73" s="45" t="inlineStr">
        <is>
          <t>予定が毎週入っている</t>
        </is>
      </c>
      <c r="G73" s="45" t="inlineStr"/>
      <c r="H73" s="45" t="inlineStr"/>
      <c r="I73" s="45" t="inlineStr"/>
      <c r="J73" s="42" t="n">
        <v>3</v>
      </c>
      <c r="K73" s="46">
        <f>EDATE('はじめに'!$C$5,J73)</f>
        <v/>
      </c>
      <c r="L73" s="42" t="inlineStr">
        <is>
          <t>推奨</t>
        </is>
      </c>
      <c r="M73" s="42" t="inlineStr">
        <is>
          <t>どちらか</t>
        </is>
      </c>
      <c r="N73" s="42" t="inlineStr">
        <is>
          <t>10分</t>
        </is>
      </c>
      <c r="O73" s="45" t="inlineStr"/>
      <c r="P73" s="45" t="inlineStr"/>
      <c r="Q73" s="38" t="inlineStr">
        <is>
          <t>未着手</t>
        </is>
      </c>
      <c r="R73" s="28" t="inlineStr"/>
    </row>
    <row r="74" outlineLevel="1">
      <c r="A74" s="39" t="inlineStr">
        <is>
          <t>P2-01-03</t>
        </is>
      </c>
      <c r="B74" s="39" t="inlineStr">
        <is>
          <t>P2</t>
        </is>
      </c>
      <c r="C74" s="22" t="inlineStr">
        <is>
          <t>関係</t>
        </is>
      </c>
      <c r="D74" s="39" t="n">
        <v>3</v>
      </c>
      <c r="E74" s="40" t="inlineStr">
        <is>
          <t>4週やってみて、続く形に調整する</t>
        </is>
      </c>
      <c r="F74" s="24" t="inlineStr">
        <is>
          <t>無理なく続く形になっている</t>
        </is>
      </c>
      <c r="G74" s="24" t="inlineStr"/>
      <c r="H74" s="24" t="inlineStr"/>
      <c r="I74" s="24" t="inlineStr"/>
      <c r="J74" s="39" t="n">
        <v>4</v>
      </c>
      <c r="K74" s="41">
        <f>EDATE('はじめに'!$C$5,J74)</f>
        <v/>
      </c>
      <c r="L74" s="39" t="inlineStr">
        <is>
          <t>推奨</t>
        </is>
      </c>
      <c r="M74" s="39" t="inlineStr">
        <is>
          <t>2人</t>
        </is>
      </c>
      <c r="N74" s="39" t="inlineStr">
        <is>
          <t>15分</t>
        </is>
      </c>
      <c r="O74" s="24" t="inlineStr"/>
      <c r="P74" s="24" t="inlineStr"/>
      <c r="Q74" s="38" t="inlineStr">
        <is>
          <t>未着手</t>
        </is>
      </c>
      <c r="R74" s="28" t="inlineStr"/>
    </row>
    <row r="75">
      <c r="A75" s="33" t="inlineStr">
        <is>
          <t>P2-02</t>
        </is>
      </c>
      <c r="B75" s="33" t="inlineStr">
        <is>
          <t>P2</t>
        </is>
      </c>
      <c r="C75" s="34" t="inlineStr">
        <is>
          <t>関係</t>
        </is>
      </c>
      <c r="D75" s="33" t="n">
        <v>2</v>
      </c>
      <c r="E75" s="35" t="inlineStr">
        <is>
          <t>喧嘩のルールを決める</t>
        </is>
      </c>
      <c r="F75" s="36" t="inlineStr">
        <is>
          <t>ルールが紙に書かれ、2人が同意している</t>
        </is>
      </c>
      <c r="G75" s="36" t="inlineStr">
        <is>
          <t>揉めたときにどう収めるか</t>
        </is>
      </c>
      <c r="H75" s="36" t="inlineStr">
        <is>
          <t>人格否定をしない／過去を持ち出さない／その日のうちに無理に終わらせない／30分で一旦中断する／第三者を巻き込まない</t>
        </is>
      </c>
      <c r="I75" s="36" t="inlineStr">
        <is>
          <t>ルールを平時に決めておくと、有事に機能する。産後の睡眠不足下では特に効く</t>
        </is>
      </c>
      <c r="J75" s="33" t="n">
        <v>4</v>
      </c>
      <c r="K75" s="37">
        <f>EDATE('はじめに'!$C$5,J75)</f>
        <v/>
      </c>
      <c r="L75" s="33" t="inlineStr">
        <is>
          <t>推奨</t>
        </is>
      </c>
      <c r="M75" s="33" t="inlineStr">
        <is>
          <t>2人</t>
        </is>
      </c>
      <c r="N75" s="33" t="inlineStr">
        <is>
          <t>1時間</t>
        </is>
      </c>
      <c r="O75" s="36" t="inlineStr"/>
      <c r="P75" s="36" t="inlineStr"/>
      <c r="Q75" s="38" t="inlineStr">
        <is>
          <t>未着手</t>
        </is>
      </c>
      <c r="R75" s="28" t="inlineStr"/>
    </row>
    <row r="76" outlineLevel="1">
      <c r="A76" s="39" t="inlineStr">
        <is>
          <t>P2-02-01</t>
        </is>
      </c>
      <c r="B76" s="39" t="inlineStr">
        <is>
          <t>P2</t>
        </is>
      </c>
      <c r="C76" s="22" t="inlineStr">
        <is>
          <t>関係</t>
        </is>
      </c>
      <c r="D76" s="39" t="n">
        <v>3</v>
      </c>
      <c r="E76" s="40" t="inlineStr">
        <is>
          <t>各自が「これを言われると終わる」というNGワードを3つ出す</t>
        </is>
      </c>
      <c r="F76" s="24" t="inlineStr">
        <is>
          <t>NGワードが共有されている</t>
        </is>
      </c>
      <c r="G76" s="24" t="inlineStr"/>
      <c r="H76" s="24" t="inlineStr"/>
      <c r="I76" s="24" t="inlineStr"/>
      <c r="J76" s="39" t="n">
        <v>4</v>
      </c>
      <c r="K76" s="41">
        <f>EDATE('はじめに'!$C$5,J76)</f>
        <v/>
      </c>
      <c r="L76" s="39" t="inlineStr">
        <is>
          <t>推奨</t>
        </is>
      </c>
      <c r="M76" s="39" t="inlineStr">
        <is>
          <t>2人</t>
        </is>
      </c>
      <c r="N76" s="39" t="inlineStr">
        <is>
          <t>30分</t>
        </is>
      </c>
      <c r="O76" s="24" t="inlineStr"/>
      <c r="P76" s="24" t="inlineStr"/>
      <c r="Q76" s="38" t="inlineStr">
        <is>
          <t>未着手</t>
        </is>
      </c>
      <c r="R76" s="28" t="inlineStr"/>
    </row>
    <row r="77" outlineLevel="1">
      <c r="A77" s="42" t="inlineStr">
        <is>
          <t>P2-02-02</t>
        </is>
      </c>
      <c r="B77" s="42" t="inlineStr">
        <is>
          <t>P2</t>
        </is>
      </c>
      <c r="C77" s="43" t="inlineStr">
        <is>
          <t>関係</t>
        </is>
      </c>
      <c r="D77" s="42" t="n">
        <v>3</v>
      </c>
      <c r="E77" s="44" t="inlineStr">
        <is>
          <t>中断と再開のルールを決める（何分で中断、いつ再開するか）</t>
        </is>
      </c>
      <c r="F77" s="45" t="inlineStr">
        <is>
          <t>ルールが決まっている</t>
        </is>
      </c>
      <c r="G77" s="45" t="inlineStr"/>
      <c r="H77" s="45" t="inlineStr"/>
      <c r="I77" s="45" t="inlineStr"/>
      <c r="J77" s="42" t="n">
        <v>4</v>
      </c>
      <c r="K77" s="46">
        <f>EDATE('はじめに'!$C$5,J77)</f>
        <v/>
      </c>
      <c r="L77" s="42" t="inlineStr">
        <is>
          <t>推奨</t>
        </is>
      </c>
      <c r="M77" s="42" t="inlineStr">
        <is>
          <t>2人</t>
        </is>
      </c>
      <c r="N77" s="42" t="inlineStr">
        <is>
          <t>30分</t>
        </is>
      </c>
      <c r="O77" s="45" t="inlineStr"/>
      <c r="P77" s="45" t="inlineStr"/>
      <c r="Q77" s="38" t="inlineStr">
        <is>
          <t>未着手</t>
        </is>
      </c>
      <c r="R77" s="28" t="inlineStr"/>
    </row>
    <row r="78">
      <c r="A78" s="33" t="inlineStr">
        <is>
          <t>P2-03</t>
        </is>
      </c>
      <c r="B78" s="33" t="inlineStr">
        <is>
          <t>P2</t>
        </is>
      </c>
      <c r="C78" s="34" t="inlineStr">
        <is>
          <t>家事</t>
        </is>
      </c>
      <c r="D78" s="33" t="n">
        <v>2</v>
      </c>
      <c r="E78" s="35" t="inlineStr">
        <is>
          <t>家事分担を運用し、月次で見直す</t>
        </is>
      </c>
      <c r="F78" s="36" t="inlineStr">
        <is>
          <t>毎月1回の見直しが3回続いている</t>
        </is>
      </c>
      <c r="G78" s="36" t="inlineStr"/>
      <c r="H78" s="36" t="inlineStr"/>
      <c r="I78" s="36" t="inlineStr"/>
      <c r="J78" s="33" t="n">
        <v>4</v>
      </c>
      <c r="K78" s="37">
        <f>EDATE('はじめに'!$C$5,J78)</f>
        <v/>
      </c>
      <c r="L78" s="33" t="inlineStr">
        <is>
          <t>推奨</t>
        </is>
      </c>
      <c r="M78" s="33" t="inlineStr">
        <is>
          <t>2人</t>
        </is>
      </c>
      <c r="N78" s="33" t="inlineStr">
        <is>
          <t>30分/月</t>
        </is>
      </c>
      <c r="O78" s="36" t="inlineStr"/>
      <c r="P78" s="36" t="inlineStr">
        <is>
          <t>家事分担の設計</t>
        </is>
      </c>
      <c r="Q78" s="38" t="inlineStr">
        <is>
          <t>未着手</t>
        </is>
      </c>
      <c r="R78" s="28" t="inlineStr"/>
    </row>
    <row r="79" outlineLevel="1">
      <c r="A79" s="42" t="inlineStr">
        <is>
          <t>P2-03-01</t>
        </is>
      </c>
      <c r="B79" s="42" t="inlineStr">
        <is>
          <t>P2</t>
        </is>
      </c>
      <c r="C79" s="43" t="inlineStr">
        <is>
          <t>家事</t>
        </is>
      </c>
      <c r="D79" s="42" t="n">
        <v>3</v>
      </c>
      <c r="E79" s="44" t="inlineStr">
        <is>
          <t>1ヶ月運用して、分担表と実態のズレを洗い出す</t>
        </is>
      </c>
      <c r="F79" s="45" t="inlineStr">
        <is>
          <t>ズレている項目が特定できている</t>
        </is>
      </c>
      <c r="G79" s="45" t="inlineStr"/>
      <c r="H79" s="45" t="inlineStr"/>
      <c r="I79" s="45" t="inlineStr"/>
      <c r="J79" s="42" t="n">
        <v>4</v>
      </c>
      <c r="K79" s="46">
        <f>EDATE('はじめに'!$C$5,J79)</f>
        <v/>
      </c>
      <c r="L79" s="42" t="inlineStr">
        <is>
          <t>推奨</t>
        </is>
      </c>
      <c r="M79" s="42" t="inlineStr">
        <is>
          <t>2人</t>
        </is>
      </c>
      <c r="N79" s="42" t="inlineStr">
        <is>
          <t>30分</t>
        </is>
      </c>
      <c r="O79" s="45" t="inlineStr"/>
      <c r="P79" s="45" t="inlineStr"/>
      <c r="Q79" s="38" t="inlineStr">
        <is>
          <t>未着手</t>
        </is>
      </c>
      <c r="R79" s="28" t="inlineStr"/>
    </row>
    <row r="80" outlineLevel="1">
      <c r="A80" s="39" t="inlineStr">
        <is>
          <t>P2-03-02</t>
        </is>
      </c>
      <c r="B80" s="39" t="inlineStr">
        <is>
          <t>P2</t>
        </is>
      </c>
      <c r="C80" s="22" t="inlineStr">
        <is>
          <t>家事</t>
        </is>
      </c>
      <c r="D80" s="39" t="n">
        <v>3</v>
      </c>
      <c r="E80" s="40" t="inlineStr">
        <is>
          <t>「やった感」ではなく所要時間で測り直す</t>
        </is>
      </c>
      <c r="F80" s="24" t="inlineStr">
        <is>
          <t>各自の実測時間が出ている</t>
        </is>
      </c>
      <c r="G80" s="24" t="inlineStr"/>
      <c r="H80" s="24" t="inlineStr"/>
      <c r="I80" s="24" t="inlineStr"/>
      <c r="J80" s="39" t="n">
        <v>4</v>
      </c>
      <c r="K80" s="41">
        <f>EDATE('はじめに'!$C$5,J80)</f>
        <v/>
      </c>
      <c r="L80" s="39" t="inlineStr">
        <is>
          <t>推奨</t>
        </is>
      </c>
      <c r="M80" s="39" t="inlineStr">
        <is>
          <t>2人</t>
        </is>
      </c>
      <c r="N80" s="39" t="inlineStr">
        <is>
          <t>30分</t>
        </is>
      </c>
      <c r="O80" s="24" t="inlineStr"/>
      <c r="P80" s="24" t="inlineStr"/>
      <c r="Q80" s="38" t="inlineStr">
        <is>
          <t>未着手</t>
        </is>
      </c>
      <c r="R80" s="28" t="inlineStr"/>
    </row>
    <row r="81" outlineLevel="1">
      <c r="A81" s="42" t="inlineStr">
        <is>
          <t>P2-03-03</t>
        </is>
      </c>
      <c r="B81" s="42" t="inlineStr">
        <is>
          <t>P2</t>
        </is>
      </c>
      <c r="C81" s="43" t="inlineStr">
        <is>
          <t>家事</t>
        </is>
      </c>
      <c r="D81" s="42" t="n">
        <v>3</v>
      </c>
      <c r="E81" s="44" t="inlineStr">
        <is>
          <t>偏っている項目を再配分するか外注に回す</t>
        </is>
      </c>
      <c r="F81" s="45" t="inlineStr">
        <is>
          <t>分担表が更新されている</t>
        </is>
      </c>
      <c r="G81" s="45" t="inlineStr"/>
      <c r="H81" s="45" t="inlineStr"/>
      <c r="I81" s="45" t="inlineStr"/>
      <c r="J81" s="42" t="n">
        <v>5</v>
      </c>
      <c r="K81" s="46">
        <f>EDATE('はじめに'!$C$5,J81)</f>
        <v/>
      </c>
      <c r="L81" s="42" t="inlineStr">
        <is>
          <t>推奨</t>
        </is>
      </c>
      <c r="M81" s="42" t="inlineStr">
        <is>
          <t>2人</t>
        </is>
      </c>
      <c r="N81" s="42" t="inlineStr">
        <is>
          <t>30分</t>
        </is>
      </c>
      <c r="O81" s="45" t="inlineStr"/>
      <c r="P81" s="45" t="inlineStr"/>
      <c r="Q81" s="38" t="inlineStr">
        <is>
          <t>未着手</t>
        </is>
      </c>
      <c r="R81" s="28" t="inlineStr"/>
    </row>
    <row r="82">
      <c r="A82" s="33" t="inlineStr">
        <is>
          <t>P2-04</t>
        </is>
      </c>
      <c r="B82" s="33" t="inlineStr">
        <is>
          <t>P2</t>
        </is>
      </c>
      <c r="C82" s="34" t="inlineStr">
        <is>
          <t>お金</t>
        </is>
      </c>
      <c r="D82" s="33" t="n">
        <v>2</v>
      </c>
      <c r="E82" s="35" t="inlineStr">
        <is>
          <t>貯蓄目標を3本立てで設定する</t>
        </is>
      </c>
      <c r="F82" s="36" t="inlineStr">
        <is>
          <t>3つの目標額と毎月の積立額が決まっている</t>
        </is>
      </c>
      <c r="G82" s="36" t="inlineStr">
        <is>
          <t>何にいくら必要かを分けて積む</t>
        </is>
      </c>
      <c r="H82" s="36" t="inlineStr">
        <is>
          <t>①結婚式資金 ②出産・育児資金 ③住宅／生活防衛資金</t>
        </is>
      </c>
      <c r="I82" s="36" t="inlineStr">
        <is>
          <t>式150〜400万円、出産〜1歳で50〜100万円（給付金差引後）、生活防衛資金は生活費6ヶ月分が目安</t>
        </is>
      </c>
      <c r="J82" s="33" t="n">
        <v>4</v>
      </c>
      <c r="K82" s="37">
        <f>EDATE('はじめに'!$C$5,J82)</f>
        <v/>
      </c>
      <c r="L82" s="33" t="inlineStr">
        <is>
          <t>推奨</t>
        </is>
      </c>
      <c r="M82" s="33" t="inlineStr">
        <is>
          <t>2人</t>
        </is>
      </c>
      <c r="N82" s="33" t="inlineStr">
        <is>
          <t>2時間</t>
        </is>
      </c>
      <c r="O82" s="36" t="inlineStr"/>
      <c r="P82" s="36" t="inlineStr">
        <is>
          <t>共通口座の運用開始</t>
        </is>
      </c>
      <c r="Q82" s="38" t="inlineStr">
        <is>
          <t>未着手</t>
        </is>
      </c>
      <c r="R82" s="28" t="inlineStr"/>
    </row>
    <row r="83" outlineLevel="1">
      <c r="A83" s="42" t="inlineStr">
        <is>
          <t>P2-04-01</t>
        </is>
      </c>
      <c r="B83" s="42" t="inlineStr">
        <is>
          <t>P2</t>
        </is>
      </c>
      <c r="C83" s="43" t="inlineStr">
        <is>
          <t>お金</t>
        </is>
      </c>
      <c r="D83" s="42" t="n">
        <v>3</v>
      </c>
      <c r="E83" s="44" t="inlineStr">
        <is>
          <t>3つの目的別に必要額と時期を書き出す</t>
        </is>
      </c>
      <c r="F83" s="45" t="inlineStr">
        <is>
          <t>目標額と期日が数字で出ている</t>
        </is>
      </c>
      <c r="G83" s="45" t="inlineStr"/>
      <c r="H83" s="45" t="inlineStr"/>
      <c r="I83" s="45" t="inlineStr"/>
      <c r="J83" s="42" t="n">
        <v>4</v>
      </c>
      <c r="K83" s="46">
        <f>EDATE('はじめに'!$C$5,J83)</f>
        <v/>
      </c>
      <c r="L83" s="42" t="inlineStr">
        <is>
          <t>推奨</t>
        </is>
      </c>
      <c r="M83" s="42" t="inlineStr">
        <is>
          <t>2人</t>
        </is>
      </c>
      <c r="N83" s="42" t="inlineStr">
        <is>
          <t>1時間</t>
        </is>
      </c>
      <c r="O83" s="45" t="inlineStr"/>
      <c r="P83" s="45" t="inlineStr"/>
      <c r="Q83" s="38" t="inlineStr">
        <is>
          <t>未着手</t>
        </is>
      </c>
      <c r="R83" s="28" t="inlineStr"/>
    </row>
    <row r="84" outlineLevel="1">
      <c r="A84" s="39" t="inlineStr">
        <is>
          <t>P2-04-02</t>
        </is>
      </c>
      <c r="B84" s="39" t="inlineStr">
        <is>
          <t>P2</t>
        </is>
      </c>
      <c r="C84" s="22" t="inlineStr">
        <is>
          <t>お金</t>
        </is>
      </c>
      <c r="D84" s="39" t="n">
        <v>3</v>
      </c>
      <c r="E84" s="40" t="inlineStr">
        <is>
          <t>目的別に口座または費目を分ける</t>
        </is>
      </c>
      <c r="F84" s="24" t="inlineStr">
        <is>
          <t>どこにいくら貯まっているか一目で分かる</t>
        </is>
      </c>
      <c r="G84" s="24" t="inlineStr"/>
      <c r="H84" s="24" t="inlineStr"/>
      <c r="I84" s="24" t="inlineStr"/>
      <c r="J84" s="39" t="n">
        <v>4</v>
      </c>
      <c r="K84" s="41">
        <f>EDATE('はじめに'!$C$5,J84)</f>
        <v/>
      </c>
      <c r="L84" s="39" t="inlineStr">
        <is>
          <t>推奨</t>
        </is>
      </c>
      <c r="M84" s="39" t="inlineStr">
        <is>
          <t>どちらか</t>
        </is>
      </c>
      <c r="N84" s="39" t="inlineStr">
        <is>
          <t>1時間</t>
        </is>
      </c>
      <c r="O84" s="24" t="inlineStr"/>
      <c r="P84" s="24" t="inlineStr"/>
      <c r="Q84" s="38" t="inlineStr">
        <is>
          <t>未着手</t>
        </is>
      </c>
      <c r="R84" s="28" t="inlineStr"/>
    </row>
    <row r="85" outlineLevel="1">
      <c r="A85" s="42" t="inlineStr">
        <is>
          <t>P2-04-03</t>
        </is>
      </c>
      <c r="B85" s="42" t="inlineStr">
        <is>
          <t>P2</t>
        </is>
      </c>
      <c r="C85" s="43" t="inlineStr">
        <is>
          <t>お金</t>
        </is>
      </c>
      <c r="D85" s="42" t="n">
        <v>3</v>
      </c>
      <c r="E85" s="44" t="inlineStr">
        <is>
          <t>毎月の積立を自動化する</t>
        </is>
      </c>
      <c r="F85" s="45" t="inlineStr">
        <is>
          <t>自動積立が動いている</t>
        </is>
      </c>
      <c r="G85" s="45" t="inlineStr"/>
      <c r="H85" s="45" t="inlineStr"/>
      <c r="I85" s="45" t="inlineStr"/>
      <c r="J85" s="42" t="n">
        <v>4</v>
      </c>
      <c r="K85" s="46">
        <f>EDATE('はじめに'!$C$5,J85)</f>
        <v/>
      </c>
      <c r="L85" s="42" t="inlineStr">
        <is>
          <t>推奨</t>
        </is>
      </c>
      <c r="M85" s="42" t="inlineStr">
        <is>
          <t>2人</t>
        </is>
      </c>
      <c r="N85" s="42" t="inlineStr">
        <is>
          <t>30分</t>
        </is>
      </c>
      <c r="O85" s="45" t="inlineStr"/>
      <c r="P85" s="45" t="inlineStr"/>
      <c r="Q85" s="38" t="inlineStr">
        <is>
          <t>未着手</t>
        </is>
      </c>
      <c r="R85" s="28" t="inlineStr"/>
    </row>
    <row r="86">
      <c r="A86" s="33" t="inlineStr">
        <is>
          <t>P2-05</t>
        </is>
      </c>
      <c r="B86" s="33" t="inlineStr">
        <is>
          <t>P2</t>
        </is>
      </c>
      <c r="C86" s="34" t="inlineStr">
        <is>
          <t>お金</t>
        </is>
      </c>
      <c r="D86" s="33" t="n">
        <v>2</v>
      </c>
      <c r="E86" s="35" t="inlineStr">
        <is>
          <t>各自が自由に使える額を確定する</t>
        </is>
      </c>
      <c r="F86" s="36" t="inlineStr">
        <is>
          <t>各自の自由費の上限が数字で決まっている</t>
        </is>
      </c>
      <c r="G86" s="36" t="inlineStr">
        <is>
          <t>共通費と貯蓄を引いた後、いくらを個人裁量にするか</t>
        </is>
      </c>
      <c r="H86" s="36" t="inlineStr">
        <is>
          <t>定額お小遣い制／手取りの◯%／上限だけ決めて中身は問わない</t>
        </is>
      </c>
      <c r="I86" s="36" t="inlineStr">
        <is>
          <t>ここを曖昧にすると必ず揉める。相手の趣味への課金額に口を出さない代わりに、上限だけ決めるのが運用しやすい</t>
        </is>
      </c>
      <c r="J86" s="33" t="n">
        <v>5</v>
      </c>
      <c r="K86" s="37">
        <f>EDATE('はじめに'!$C$5,J86)</f>
        <v/>
      </c>
      <c r="L86" s="33" t="inlineStr">
        <is>
          <t>推奨</t>
        </is>
      </c>
      <c r="M86" s="33" t="inlineStr">
        <is>
          <t>2人</t>
        </is>
      </c>
      <c r="N86" s="33" t="inlineStr">
        <is>
          <t>1時間</t>
        </is>
      </c>
      <c r="O86" s="36" t="inlineStr"/>
      <c r="P86" s="36" t="inlineStr">
        <is>
          <t>貯蓄目標の設定</t>
        </is>
      </c>
      <c r="Q86" s="38" t="inlineStr">
        <is>
          <t>未着手</t>
        </is>
      </c>
      <c r="R86" s="28" t="inlineStr"/>
    </row>
    <row r="87">
      <c r="A87" s="33" t="inlineStr">
        <is>
          <t>P2-06</t>
        </is>
      </c>
      <c r="B87" s="33" t="inlineStr">
        <is>
          <t>P2</t>
        </is>
      </c>
      <c r="C87" s="34" t="inlineStr">
        <is>
          <t>お金</t>
        </is>
      </c>
      <c r="D87" s="33" t="n">
        <v>2</v>
      </c>
      <c r="E87" s="35" t="inlineStr">
        <is>
          <t>保険を棚卸しして見直す</t>
        </is>
      </c>
      <c r="F87" s="36" t="inlineStr">
        <is>
          <t>2人の契約内容が一覧になり、不足と過剰が判断できている</t>
        </is>
      </c>
      <c r="G87" s="36" t="inlineStr">
        <is>
          <t>独身時代の契約のままになっていないか</t>
        </is>
      </c>
      <c r="H87" s="36" t="inlineStr">
        <is>
          <t>職場の団体保険／共済／民間の医療・生命・就業不能</t>
        </is>
      </c>
      <c r="I87" s="36" t="inlineStr">
        <is>
          <t>女性の医療保険は妊娠前の加入が原則。妊娠後は子宮関連が不担保になりやすいので、P7より前に済ませる</t>
        </is>
      </c>
      <c r="J87" s="33" t="n">
        <v>6</v>
      </c>
      <c r="K87" s="37">
        <f>EDATE('はじめに'!$C$5,J87)</f>
        <v/>
      </c>
      <c r="L87" s="33" t="inlineStr">
        <is>
          <t>推奨</t>
        </is>
      </c>
      <c r="M87" s="33" t="inlineStr">
        <is>
          <t>2人</t>
        </is>
      </c>
      <c r="N87" s="33" t="inlineStr">
        <is>
          <t>3時間</t>
        </is>
      </c>
      <c r="O87" s="36" t="inlineStr"/>
      <c r="P87" s="36" t="inlineStr"/>
      <c r="Q87" s="38" t="inlineStr">
        <is>
          <t>未着手</t>
        </is>
      </c>
      <c r="R87" s="28" t="inlineStr"/>
    </row>
    <row r="88" outlineLevel="1">
      <c r="A88" s="39" t="inlineStr">
        <is>
          <t>P2-06-01</t>
        </is>
      </c>
      <c r="B88" s="39" t="inlineStr">
        <is>
          <t>P2</t>
        </is>
      </c>
      <c r="C88" s="22" t="inlineStr">
        <is>
          <t>お金</t>
        </is>
      </c>
      <c r="D88" s="39" t="n">
        <v>3</v>
      </c>
      <c r="E88" s="40" t="inlineStr">
        <is>
          <t>現在加入している全ての保険を一覧にする（保障内容・保険料・受取人）</t>
        </is>
      </c>
      <c r="F88" s="24" t="inlineStr">
        <is>
          <t>一覧表ができている</t>
        </is>
      </c>
      <c r="G88" s="24" t="inlineStr"/>
      <c r="H88" s="24" t="inlineStr"/>
      <c r="I88" s="24" t="inlineStr"/>
      <c r="J88" s="39" t="n">
        <v>6</v>
      </c>
      <c r="K88" s="41">
        <f>EDATE('はじめに'!$C$5,J88)</f>
        <v/>
      </c>
      <c r="L88" s="39" t="inlineStr">
        <is>
          <t>推奨</t>
        </is>
      </c>
      <c r="M88" s="39" t="inlineStr">
        <is>
          <t>2人</t>
        </is>
      </c>
      <c r="N88" s="39" t="inlineStr">
        <is>
          <t>1時間</t>
        </is>
      </c>
      <c r="O88" s="24" t="inlineStr"/>
      <c r="P88" s="24" t="inlineStr"/>
      <c r="Q88" s="38" t="inlineStr">
        <is>
          <t>未着手</t>
        </is>
      </c>
      <c r="R88" s="28" t="inlineStr"/>
    </row>
    <row r="89" outlineLevel="1">
      <c r="A89" s="42" t="inlineStr">
        <is>
          <t>P2-06-02</t>
        </is>
      </c>
      <c r="B89" s="42" t="inlineStr">
        <is>
          <t>P2</t>
        </is>
      </c>
      <c r="C89" s="43" t="inlineStr">
        <is>
          <t>お金</t>
        </is>
      </c>
      <c r="D89" s="42" t="n">
        <v>3</v>
      </c>
      <c r="E89" s="44" t="inlineStr">
        <is>
          <t>勤務先の団体保険・共済の内容を確認する</t>
        </is>
      </c>
      <c r="F89" s="45" t="inlineStr">
        <is>
          <t>会社経由で入れる保障が分かっている</t>
        </is>
      </c>
      <c r="G89" s="45" t="inlineStr"/>
      <c r="H89" s="45" t="inlineStr"/>
      <c r="I89" s="45" t="inlineStr"/>
      <c r="J89" s="42" t="n">
        <v>6</v>
      </c>
      <c r="K89" s="46">
        <f>EDATE('はじめに'!$C$5,J89)</f>
        <v/>
      </c>
      <c r="L89" s="42" t="inlineStr">
        <is>
          <t>推奨</t>
        </is>
      </c>
      <c r="M89" s="42" t="inlineStr">
        <is>
          <t>2人</t>
        </is>
      </c>
      <c r="N89" s="42" t="inlineStr">
        <is>
          <t>1時間</t>
        </is>
      </c>
      <c r="O89" s="45" t="inlineStr"/>
      <c r="P89" s="45" t="inlineStr"/>
      <c r="Q89" s="38" t="inlineStr">
        <is>
          <t>未着手</t>
        </is>
      </c>
      <c r="R89" s="28" t="inlineStr"/>
    </row>
    <row r="90" outlineLevel="1">
      <c r="A90" s="39" t="inlineStr">
        <is>
          <t>P2-06-03</t>
        </is>
      </c>
      <c r="B90" s="39" t="inlineStr">
        <is>
          <t>P2</t>
        </is>
      </c>
      <c r="C90" s="22" t="inlineStr">
        <is>
          <t>お金</t>
        </is>
      </c>
      <c r="D90" s="39" t="n">
        <v>3</v>
      </c>
      <c r="E90" s="40" t="inlineStr">
        <is>
          <t>医療保険（帝王切開・切迫早産に備える）を妊娠前に整える</t>
        </is>
      </c>
      <c r="F90" s="24" t="inlineStr">
        <is>
          <t>必要な保障に入っている</t>
        </is>
      </c>
      <c r="G90" s="24" t="inlineStr"/>
      <c r="H90" s="24" t="inlineStr"/>
      <c r="I90" s="24" t="inlineStr"/>
      <c r="J90" s="39" t="n">
        <v>6</v>
      </c>
      <c r="K90" s="41">
        <f>EDATE('はじめに'!$C$5,J90)</f>
        <v/>
      </c>
      <c r="L90" s="39" t="inlineStr">
        <is>
          <t>推奨</t>
        </is>
      </c>
      <c r="M90" s="39" t="inlineStr">
        <is>
          <t>妊娠する側</t>
        </is>
      </c>
      <c r="N90" s="39" t="inlineStr">
        <is>
          <t>2時間</t>
        </is>
      </c>
      <c r="O90" s="24" t="inlineStr"/>
      <c r="P90" s="24" t="inlineStr"/>
      <c r="Q90" s="38" t="inlineStr">
        <is>
          <t>未着手</t>
        </is>
      </c>
      <c r="R90" s="28" t="inlineStr"/>
    </row>
    <row r="91" outlineLevel="1">
      <c r="A91" s="42" t="inlineStr">
        <is>
          <t>P2-06-04</t>
        </is>
      </c>
      <c r="B91" s="42" t="inlineStr">
        <is>
          <t>P2</t>
        </is>
      </c>
      <c r="C91" s="43" t="inlineStr">
        <is>
          <t>お金</t>
        </is>
      </c>
      <c r="D91" s="42" t="n">
        <v>3</v>
      </c>
      <c r="E91" s="44" t="inlineStr">
        <is>
          <t>不要な保険を解約する</t>
        </is>
      </c>
      <c r="F91" s="45" t="inlineStr">
        <is>
          <t>重複や過剰な契約がなくなっている</t>
        </is>
      </c>
      <c r="G91" s="45" t="inlineStr"/>
      <c r="H91" s="45" t="inlineStr"/>
      <c r="I91" s="45" t="inlineStr"/>
      <c r="J91" s="42" t="n">
        <v>6</v>
      </c>
      <c r="K91" s="46">
        <f>EDATE('はじめに'!$C$5,J91)</f>
        <v/>
      </c>
      <c r="L91" s="42" t="inlineStr">
        <is>
          <t>任意</t>
        </is>
      </c>
      <c r="M91" s="42" t="inlineStr">
        <is>
          <t>2人</t>
        </is>
      </c>
      <c r="N91" s="42" t="inlineStr">
        <is>
          <t>1時間</t>
        </is>
      </c>
      <c r="O91" s="45" t="inlineStr"/>
      <c r="P91" s="45" t="inlineStr"/>
      <c r="Q91" s="38" t="inlineStr">
        <is>
          <t>未着手</t>
        </is>
      </c>
      <c r="R91" s="28" t="inlineStr"/>
    </row>
    <row r="92">
      <c r="A92" s="33" t="inlineStr">
        <is>
          <t>P2-07</t>
        </is>
      </c>
      <c r="B92" s="33" t="inlineStr">
        <is>
          <t>P2</t>
        </is>
      </c>
      <c r="C92" s="34" t="inlineStr">
        <is>
          <t>お金</t>
        </is>
      </c>
      <c r="D92" s="33" t="n">
        <v>2</v>
      </c>
      <c r="E92" s="35" t="inlineStr">
        <is>
          <t>資産形成の方針を合わせる</t>
        </is>
      </c>
      <c r="F92" s="36" t="inlineStr">
        <is>
          <t>どちらの名義でいくら積むかが決まっている</t>
        </is>
      </c>
      <c r="G92" s="36" t="inlineStr">
        <is>
          <t>教育資金をどこに置くか</t>
        </is>
      </c>
      <c r="H92" s="36" t="inlineStr">
        <is>
          <t>新NISA（つみたて投資枠）／定期預金／学資保険は出産後に検討</t>
        </is>
      </c>
      <c r="I92" s="36" t="inlineStr">
        <is>
          <t>教育資金は最終的にここか学資保険になる。方針を今のうちに合わせておくと後で揉めない</t>
        </is>
      </c>
      <c r="J92" s="33" t="n">
        <v>6</v>
      </c>
      <c r="K92" s="37">
        <f>EDATE('はじめに'!$C$5,J92)</f>
        <v/>
      </c>
      <c r="L92" s="33" t="inlineStr">
        <is>
          <t>任意</t>
        </is>
      </c>
      <c r="M92" s="33" t="inlineStr">
        <is>
          <t>2人</t>
        </is>
      </c>
      <c r="N92" s="33" t="inlineStr">
        <is>
          <t>2時間</t>
        </is>
      </c>
      <c r="O92" s="36" t="inlineStr"/>
      <c r="P92" s="36" t="inlineStr">
        <is>
          <t>貯蓄目標の設定</t>
        </is>
      </c>
      <c r="Q92" s="38" t="inlineStr">
        <is>
          <t>未着手</t>
        </is>
      </c>
      <c r="R92" s="28" t="inlineStr"/>
    </row>
    <row r="93">
      <c r="A93" s="33" t="inlineStr">
        <is>
          <t>P2-08</t>
        </is>
      </c>
      <c r="B93" s="33" t="inlineStr">
        <is>
          <t>P2</t>
        </is>
      </c>
      <c r="C93" s="34" t="inlineStr">
        <is>
          <t>関係</t>
        </is>
      </c>
      <c r="D93" s="33" t="n">
        <v>2</v>
      </c>
      <c r="E93" s="35" t="inlineStr">
        <is>
          <t>お互いの親との距離感を確認する</t>
        </is>
      </c>
      <c r="F93" s="36" t="inlineStr">
        <is>
          <t>訪問頻度・宿泊・連絡の取り方のルールが決まっている</t>
        </is>
      </c>
      <c r="G93" s="36" t="inlineStr">
        <is>
          <t>どこまで関わるか、誰が窓口になるか</t>
        </is>
      </c>
      <c r="H93" s="36" t="inlineStr">
        <is>
          <t>月1回訪問／年数回／宿泊あり・なし／連絡は各自が自分の親と</t>
        </is>
      </c>
      <c r="I93" s="36" t="inlineStr">
        <is>
          <t>義実家対応は「各自が自分の実親に言う」が原則。ここを決めておくと産後の衝突が激減する</t>
        </is>
      </c>
      <c r="J93" s="33" t="n">
        <v>7</v>
      </c>
      <c r="K93" s="37">
        <f>EDATE('はじめに'!$C$5,J93)</f>
        <v/>
      </c>
      <c r="L93" s="33" t="inlineStr">
        <is>
          <t>推奨</t>
        </is>
      </c>
      <c r="M93" s="33" t="inlineStr">
        <is>
          <t>2人</t>
        </is>
      </c>
      <c r="N93" s="33" t="inlineStr">
        <is>
          <t>2時間</t>
        </is>
      </c>
      <c r="O93" s="36" t="inlineStr"/>
      <c r="P93" s="36" t="inlineStr"/>
      <c r="Q93" s="38" t="inlineStr">
        <is>
          <t>未着手</t>
        </is>
      </c>
      <c r="R93" s="28" t="inlineStr"/>
    </row>
    <row r="94" outlineLevel="1">
      <c r="A94" s="39" t="inlineStr">
        <is>
          <t>P2-08-01</t>
        </is>
      </c>
      <c r="B94" s="39" t="inlineStr">
        <is>
          <t>P2</t>
        </is>
      </c>
      <c r="C94" s="22" t="inlineStr">
        <is>
          <t>関係</t>
        </is>
      </c>
      <c r="D94" s="39" t="n">
        <v>3</v>
      </c>
      <c r="E94" s="40" t="inlineStr">
        <is>
          <t>各自が自分の実家との理想的な距離感を言葉にする</t>
        </is>
      </c>
      <c r="F94" s="24" t="inlineStr">
        <is>
          <t>お互いの希望が分かっている</t>
        </is>
      </c>
      <c r="G94" s="24" t="inlineStr"/>
      <c r="H94" s="24" t="inlineStr"/>
      <c r="I94" s="24" t="inlineStr"/>
      <c r="J94" s="39" t="n">
        <v>7</v>
      </c>
      <c r="K94" s="41">
        <f>EDATE('はじめに'!$C$5,J94)</f>
        <v/>
      </c>
      <c r="L94" s="39" t="inlineStr">
        <is>
          <t>推奨</t>
        </is>
      </c>
      <c r="M94" s="39" t="inlineStr">
        <is>
          <t>2人</t>
        </is>
      </c>
      <c r="N94" s="39" t="inlineStr">
        <is>
          <t>30分</t>
        </is>
      </c>
      <c r="O94" s="24" t="inlineStr"/>
      <c r="P94" s="24" t="inlineStr"/>
      <c r="Q94" s="38" t="inlineStr">
        <is>
          <t>未着手</t>
        </is>
      </c>
      <c r="R94" s="28" t="inlineStr"/>
    </row>
    <row r="95" outlineLevel="1">
      <c r="A95" s="42" t="inlineStr">
        <is>
          <t>P2-08-02</t>
        </is>
      </c>
      <c r="B95" s="42" t="inlineStr">
        <is>
          <t>P2</t>
        </is>
      </c>
      <c r="C95" s="43" t="inlineStr">
        <is>
          <t>関係</t>
        </is>
      </c>
      <c r="D95" s="42" t="n">
        <v>3</v>
      </c>
      <c r="E95" s="44" t="inlineStr">
        <is>
          <t>訪問・宿泊・連絡のルールを決める</t>
        </is>
      </c>
      <c r="F95" s="45" t="inlineStr">
        <is>
          <t>ルールが明文化されている</t>
        </is>
      </c>
      <c r="G95" s="45" t="inlineStr"/>
      <c r="H95" s="45" t="inlineStr"/>
      <c r="I95" s="45" t="inlineStr"/>
      <c r="J95" s="42" t="n">
        <v>7</v>
      </c>
      <c r="K95" s="46">
        <f>EDATE('はじめに'!$C$5,J95)</f>
        <v/>
      </c>
      <c r="L95" s="42" t="inlineStr">
        <is>
          <t>推奨</t>
        </is>
      </c>
      <c r="M95" s="42" t="inlineStr">
        <is>
          <t>2人</t>
        </is>
      </c>
      <c r="N95" s="42" t="inlineStr">
        <is>
          <t>1時間</t>
        </is>
      </c>
      <c r="O95" s="45" t="inlineStr"/>
      <c r="P95" s="45" t="inlineStr"/>
      <c r="Q95" s="38" t="inlineStr">
        <is>
          <t>未着手</t>
        </is>
      </c>
      <c r="R95" s="28" t="inlineStr"/>
    </row>
    <row r="96" outlineLevel="1">
      <c r="A96" s="39" t="inlineStr">
        <is>
          <t>P2-08-03</t>
        </is>
      </c>
      <c r="B96" s="39" t="inlineStr">
        <is>
          <t>P2</t>
        </is>
      </c>
      <c r="C96" s="22" t="inlineStr">
        <is>
          <t>関係</t>
        </is>
      </c>
      <c r="D96" s="39" t="n">
        <v>3</v>
      </c>
      <c r="E96" s="40" t="inlineStr">
        <is>
          <t>「相手の親への要望は、自分の親に自分で言う」を原則として合意する</t>
        </is>
      </c>
      <c r="F96" s="24" t="inlineStr">
        <is>
          <t>原則が共有されている</t>
        </is>
      </c>
      <c r="G96" s="24" t="inlineStr"/>
      <c r="H96" s="24" t="inlineStr"/>
      <c r="I96" s="24" t="inlineStr"/>
      <c r="J96" s="39" t="n">
        <v>7</v>
      </c>
      <c r="K96" s="41">
        <f>EDATE('はじめに'!$C$5,J96)</f>
        <v/>
      </c>
      <c r="L96" s="39" t="inlineStr">
        <is>
          <t>推奨</t>
        </is>
      </c>
      <c r="M96" s="39" t="inlineStr">
        <is>
          <t>2人</t>
        </is>
      </c>
      <c r="N96" s="39" t="inlineStr">
        <is>
          <t>15分</t>
        </is>
      </c>
      <c r="O96" s="24" t="inlineStr"/>
      <c r="P96" s="24" t="inlineStr"/>
      <c r="Q96" s="38" t="inlineStr">
        <is>
          <t>未着手</t>
        </is>
      </c>
      <c r="R96" s="28" t="inlineStr"/>
    </row>
    <row r="97">
      <c r="A97" s="33" t="inlineStr">
        <is>
          <t>P2-09</t>
        </is>
      </c>
      <c r="B97" s="33" t="inlineStr">
        <is>
          <t>P2</t>
        </is>
      </c>
      <c r="C97" s="34" t="inlineStr">
        <is>
          <t>キャリア</t>
        </is>
      </c>
      <c r="D97" s="33" t="n">
        <v>2</v>
      </c>
      <c r="E97" s="35" t="inlineStr">
        <is>
          <t>今後3年の働き方・キャリアの予定を共有する</t>
        </is>
      </c>
      <c r="F97" s="36" t="inlineStr">
        <is>
          <t>2人の3年計画が1枚にまとまっている</t>
        </is>
      </c>
      <c r="G97" s="36" t="inlineStr">
        <is>
          <t>転職・異動・留学・独立の予定が妊活や出産と衝突しないか</t>
        </is>
      </c>
      <c r="H97" s="36" t="inlineStr"/>
      <c r="I97" s="36" t="inlineStr">
        <is>
          <t>妊活・出産の時期と、キャリアの山場が重なると詰む。先に並べて可視化する</t>
        </is>
      </c>
      <c r="J97" s="33" t="n">
        <v>8</v>
      </c>
      <c r="K97" s="37">
        <f>EDATE('はじめに'!$C$5,J97)</f>
        <v/>
      </c>
      <c r="L97" s="33" t="inlineStr">
        <is>
          <t>推奨</t>
        </is>
      </c>
      <c r="M97" s="33" t="inlineStr">
        <is>
          <t>2人</t>
        </is>
      </c>
      <c r="N97" s="33" t="inlineStr">
        <is>
          <t>2時間</t>
        </is>
      </c>
      <c r="O97" s="36" t="inlineStr"/>
      <c r="P97" s="36" t="inlineStr"/>
      <c r="Q97" s="38" t="inlineStr">
        <is>
          <t>未着手</t>
        </is>
      </c>
      <c r="R97" s="28" t="inlineStr"/>
    </row>
    <row r="98" outlineLevel="1">
      <c r="A98" s="39" t="inlineStr">
        <is>
          <t>P2-09-01</t>
        </is>
      </c>
      <c r="B98" s="39" t="inlineStr">
        <is>
          <t>P2</t>
        </is>
      </c>
      <c r="C98" s="22" t="inlineStr">
        <is>
          <t>キャリア</t>
        </is>
      </c>
      <c r="D98" s="39" t="n">
        <v>3</v>
      </c>
      <c r="E98" s="40" t="inlineStr">
        <is>
          <t>各自が3年以内にやりたいこと（転職・昇進・資格・留学）を書き出す</t>
        </is>
      </c>
      <c r="F98" s="24" t="inlineStr">
        <is>
          <t>リストが揃っている</t>
        </is>
      </c>
      <c r="G98" s="24" t="inlineStr"/>
      <c r="H98" s="24" t="inlineStr"/>
      <c r="I98" s="24" t="inlineStr"/>
      <c r="J98" s="39" t="n">
        <v>8</v>
      </c>
      <c r="K98" s="41">
        <f>EDATE('はじめに'!$C$5,J98)</f>
        <v/>
      </c>
      <c r="L98" s="39" t="inlineStr">
        <is>
          <t>推奨</t>
        </is>
      </c>
      <c r="M98" s="39" t="inlineStr">
        <is>
          <t>2人</t>
        </is>
      </c>
      <c r="N98" s="39" t="inlineStr">
        <is>
          <t>30分</t>
        </is>
      </c>
      <c r="O98" s="24" t="inlineStr"/>
      <c r="P98" s="24" t="inlineStr"/>
      <c r="Q98" s="38" t="inlineStr">
        <is>
          <t>未着手</t>
        </is>
      </c>
      <c r="R98" s="28" t="inlineStr"/>
    </row>
    <row r="99" outlineLevel="1">
      <c r="A99" s="42" t="inlineStr">
        <is>
          <t>P2-09-02</t>
        </is>
      </c>
      <c r="B99" s="42" t="inlineStr">
        <is>
          <t>P2</t>
        </is>
      </c>
      <c r="C99" s="43" t="inlineStr">
        <is>
          <t>キャリア</t>
        </is>
      </c>
      <c r="D99" s="42" t="n">
        <v>3</v>
      </c>
      <c r="E99" s="44" t="inlineStr">
        <is>
          <t>①ロードマップの時期と並べて、衝突する箇所を洗い出す</t>
        </is>
      </c>
      <c r="F99" s="45" t="inlineStr">
        <is>
          <t>衝突ポイントが特定できている</t>
        </is>
      </c>
      <c r="G99" s="45" t="inlineStr"/>
      <c r="H99" s="45" t="inlineStr"/>
      <c r="I99" s="45" t="inlineStr"/>
      <c r="J99" s="42" t="n">
        <v>8</v>
      </c>
      <c r="K99" s="46">
        <f>EDATE('はじめに'!$C$5,J99)</f>
        <v/>
      </c>
      <c r="L99" s="42" t="inlineStr">
        <is>
          <t>推奨</t>
        </is>
      </c>
      <c r="M99" s="42" t="inlineStr">
        <is>
          <t>2人</t>
        </is>
      </c>
      <c r="N99" s="42" t="inlineStr">
        <is>
          <t>1時間</t>
        </is>
      </c>
      <c r="O99" s="45" t="inlineStr"/>
      <c r="P99" s="45" t="inlineStr"/>
      <c r="Q99" s="38" t="inlineStr">
        <is>
          <t>未着手</t>
        </is>
      </c>
      <c r="R99" s="28" t="inlineStr"/>
    </row>
    <row r="100" outlineLevel="1">
      <c r="A100" s="39" t="inlineStr">
        <is>
          <t>P2-09-03</t>
        </is>
      </c>
      <c r="B100" s="39" t="inlineStr">
        <is>
          <t>P2</t>
        </is>
      </c>
      <c r="C100" s="22" t="inlineStr">
        <is>
          <t>キャリア</t>
        </is>
      </c>
      <c r="D100" s="39" t="n">
        <v>3</v>
      </c>
      <c r="E100" s="40" t="inlineStr">
        <is>
          <t>衝突する場合はどちらを優先するか決める</t>
        </is>
      </c>
      <c r="F100" s="24" t="inlineStr">
        <is>
          <t>優先順位が決まっている</t>
        </is>
      </c>
      <c r="G100" s="24" t="inlineStr"/>
      <c r="H100" s="24" t="inlineStr"/>
      <c r="I100" s="24" t="inlineStr"/>
      <c r="J100" s="39" t="n">
        <v>8</v>
      </c>
      <c r="K100" s="41">
        <f>EDATE('はじめに'!$C$5,J100)</f>
        <v/>
      </c>
      <c r="L100" s="39" t="inlineStr">
        <is>
          <t>推奨</t>
        </is>
      </c>
      <c r="M100" s="39" t="inlineStr">
        <is>
          <t>2人</t>
        </is>
      </c>
      <c r="N100" s="39" t="inlineStr">
        <is>
          <t>1時間</t>
        </is>
      </c>
      <c r="O100" s="24" t="inlineStr"/>
      <c r="P100" s="24" t="inlineStr"/>
      <c r="Q100" s="38" t="inlineStr">
        <is>
          <t>未着手</t>
        </is>
      </c>
      <c r="R100" s="28" t="inlineStr"/>
    </row>
    <row r="101">
      <c r="A101" s="33" t="inlineStr">
        <is>
          <t>P3-01</t>
        </is>
      </c>
      <c r="B101" s="33" t="inlineStr">
        <is>
          <t>P3</t>
        </is>
      </c>
      <c r="C101" s="34" t="inlineStr">
        <is>
          <t>結婚</t>
        </is>
      </c>
      <c r="D101" s="33" t="n">
        <v>2</v>
      </c>
      <c r="E101" s="35" t="inlineStr">
        <is>
          <t>プロポーズ</t>
        </is>
      </c>
      <c r="F101" s="36" t="inlineStr">
        <is>
          <t>結婚の意思が明確な形で交わされている</t>
        </is>
      </c>
      <c r="G101" s="36" t="inlineStr">
        <is>
          <t>形式をどうするか（サプライズか、合意形成のうえでの儀式か）</t>
        </is>
      </c>
      <c r="H101" s="36" t="inlineStr">
        <is>
          <t>サプライズ／事前に相談して指輪は一緒に選ぶ／記念旅行で／形式なし</t>
        </is>
      </c>
      <c r="I101" s="36" t="inlineStr">
        <is>
          <t>期待値のズレが後々まで残る。相手が「サプライズ派」か「相談派」かを事前に把握しておく</t>
        </is>
      </c>
      <c r="J101" s="33" t="n">
        <v>9</v>
      </c>
      <c r="K101" s="37">
        <f>EDATE('はじめに'!$C$5,J101)</f>
        <v/>
      </c>
      <c r="L101" s="33" t="inlineStr">
        <is>
          <t>任意</t>
        </is>
      </c>
      <c r="M101" s="33" t="inlineStr">
        <is>
          <t>どちらか</t>
        </is>
      </c>
      <c r="N101" s="33" t="inlineStr">
        <is>
          <t>-</t>
        </is>
      </c>
      <c r="O101" s="36" t="inlineStr"/>
      <c r="P101" s="36" t="inlineStr">
        <is>
          <t>同棲の目的と期限の合意</t>
        </is>
      </c>
      <c r="Q101" s="38" t="inlineStr">
        <is>
          <t>未着手</t>
        </is>
      </c>
      <c r="R101" s="28" t="inlineStr"/>
    </row>
    <row r="102" outlineLevel="1">
      <c r="A102" s="39" t="inlineStr">
        <is>
          <t>P3-01-01</t>
        </is>
      </c>
      <c r="B102" s="39" t="inlineStr">
        <is>
          <t>P3</t>
        </is>
      </c>
      <c r="C102" s="22" t="inlineStr">
        <is>
          <t>結婚</t>
        </is>
      </c>
      <c r="D102" s="39" t="n">
        <v>3</v>
      </c>
      <c r="E102" s="40" t="inlineStr">
        <is>
          <t>相手が望む形式（サプライズか事前相談か）をそれとなく確認する</t>
        </is>
      </c>
      <c r="F102" s="24" t="inlineStr">
        <is>
          <t>希望の方向性が分かっている</t>
        </is>
      </c>
      <c r="G102" s="24" t="inlineStr"/>
      <c r="H102" s="24" t="inlineStr"/>
      <c r="I102" s="24" t="inlineStr"/>
      <c r="J102" s="39" t="n">
        <v>9</v>
      </c>
      <c r="K102" s="41">
        <f>EDATE('はじめに'!$C$5,J102)</f>
        <v/>
      </c>
      <c r="L102" s="39" t="inlineStr">
        <is>
          <t>任意</t>
        </is>
      </c>
      <c r="M102" s="39" t="inlineStr">
        <is>
          <t>どちらか</t>
        </is>
      </c>
      <c r="N102" s="39" t="inlineStr">
        <is>
          <t>-</t>
        </is>
      </c>
      <c r="O102" s="24" t="inlineStr"/>
      <c r="P102" s="24" t="inlineStr"/>
      <c r="Q102" s="38" t="inlineStr">
        <is>
          <t>未着手</t>
        </is>
      </c>
      <c r="R102" s="28" t="inlineStr"/>
    </row>
    <row r="103" outlineLevel="1">
      <c r="A103" s="42" t="inlineStr">
        <is>
          <t>P3-01-02</t>
        </is>
      </c>
      <c r="B103" s="42" t="inlineStr">
        <is>
          <t>P3</t>
        </is>
      </c>
      <c r="C103" s="43" t="inlineStr">
        <is>
          <t>結婚</t>
        </is>
      </c>
      <c r="D103" s="42" t="n">
        <v>3</v>
      </c>
      <c r="E103" s="44" t="inlineStr">
        <is>
          <t>指輪のサイズ・好みのデザイン・ブランドをリサーチする</t>
        </is>
      </c>
      <c r="F103" s="45" t="inlineStr">
        <is>
          <t>サイズと好みが分かっている</t>
        </is>
      </c>
      <c r="G103" s="45" t="inlineStr"/>
      <c r="H103" s="45" t="inlineStr"/>
      <c r="I103" s="45" t="inlineStr"/>
      <c r="J103" s="42" t="n">
        <v>9</v>
      </c>
      <c r="K103" s="46">
        <f>EDATE('はじめに'!$C$5,J103)</f>
        <v/>
      </c>
      <c r="L103" s="42" t="inlineStr">
        <is>
          <t>任意</t>
        </is>
      </c>
      <c r="M103" s="42" t="inlineStr">
        <is>
          <t>どちらか</t>
        </is>
      </c>
      <c r="N103" s="42" t="inlineStr">
        <is>
          <t>1時間</t>
        </is>
      </c>
      <c r="O103" s="45" t="inlineStr"/>
      <c r="P103" s="45" t="inlineStr"/>
      <c r="Q103" s="38" t="inlineStr">
        <is>
          <t>未着手</t>
        </is>
      </c>
      <c r="R103" s="28" t="inlineStr"/>
    </row>
    <row r="104" outlineLevel="1">
      <c r="A104" s="39" t="inlineStr">
        <is>
          <t>P3-01-03</t>
        </is>
      </c>
      <c r="B104" s="39" t="inlineStr">
        <is>
          <t>P3</t>
        </is>
      </c>
      <c r="C104" s="22" t="inlineStr">
        <is>
          <t>結婚</t>
        </is>
      </c>
      <c r="D104" s="39" t="n">
        <v>3</v>
      </c>
      <c r="E104" s="40" t="inlineStr">
        <is>
          <t>日程・場所・段取りを決めて実行する</t>
        </is>
      </c>
      <c r="F104" s="24" t="inlineStr">
        <is>
          <t>プロポーズが完了している</t>
        </is>
      </c>
      <c r="G104" s="24" t="inlineStr"/>
      <c r="H104" s="24" t="inlineStr"/>
      <c r="I104" s="24" t="inlineStr"/>
      <c r="J104" s="39" t="n">
        <v>9</v>
      </c>
      <c r="K104" s="41">
        <f>EDATE('はじめに'!$C$5,J104)</f>
        <v/>
      </c>
      <c r="L104" s="39" t="inlineStr">
        <is>
          <t>任意</t>
        </is>
      </c>
      <c r="M104" s="39" t="inlineStr">
        <is>
          <t>どちらか</t>
        </is>
      </c>
      <c r="N104" s="39" t="inlineStr">
        <is>
          <t>-</t>
        </is>
      </c>
      <c r="O104" s="24" t="inlineStr"/>
      <c r="P104" s="24" t="inlineStr"/>
      <c r="Q104" s="38" t="inlineStr">
        <is>
          <t>未着手</t>
        </is>
      </c>
      <c r="R104" s="28" t="inlineStr"/>
    </row>
    <row r="105">
      <c r="A105" s="33" t="inlineStr">
        <is>
          <t>P3-02</t>
        </is>
      </c>
      <c r="B105" s="33" t="inlineStr">
        <is>
          <t>P3</t>
        </is>
      </c>
      <c r="C105" s="34" t="inlineStr">
        <is>
          <t>結婚</t>
        </is>
      </c>
      <c r="D105" s="33" t="n">
        <v>2</v>
      </c>
      <c r="E105" s="35" t="inlineStr">
        <is>
          <t>婚約指輪の要否と予算を決める</t>
        </is>
      </c>
      <c r="F105" s="36" t="inlineStr">
        <is>
          <t>買う／買わないが決まり、買うなら発注済み</t>
        </is>
      </c>
      <c r="G105" s="36" t="inlineStr">
        <is>
          <t>買うか、買うなら何を優先するか</t>
        </is>
      </c>
      <c r="H105" s="36" t="inlineStr">
        <is>
          <t>国内：俄（にわか）／杢目金屋／ケイウノ／4℃／アイプリモ　海外：Tiffany／Cartier／Harry Winston／Bvlgari　その他：セミオーダー、指輪なしで別の記念品</t>
        </is>
      </c>
      <c r="I105" s="36" t="inlineStr">
        <is>
          <t>相場は30〜40万円だが「給料3ヶ月分」は広告由来で根拠なし。日常的に着ける物ではないので、結婚指輪や新生活に予算を寄せる選択も合理的</t>
        </is>
      </c>
      <c r="J105" s="33" t="n">
        <v>9</v>
      </c>
      <c r="K105" s="37">
        <f>EDATE('はじめに'!$C$5,J105)</f>
        <v/>
      </c>
      <c r="L105" s="33" t="inlineStr">
        <is>
          <t>任意</t>
        </is>
      </c>
      <c r="M105" s="33" t="inlineStr">
        <is>
          <t>2人</t>
        </is>
      </c>
      <c r="N105" s="33" t="inlineStr">
        <is>
          <t>1〜2ヶ月</t>
        </is>
      </c>
      <c r="O105" s="36" t="inlineStr">
        <is>
          <t>0〜40万円</t>
        </is>
      </c>
      <c r="P105" s="36" t="inlineStr"/>
      <c r="Q105" s="38" t="inlineStr">
        <is>
          <t>未着手</t>
        </is>
      </c>
      <c r="R105" s="28" t="inlineStr"/>
    </row>
    <row r="106" outlineLevel="1">
      <c r="A106" s="39" t="inlineStr">
        <is>
          <t>P3-02-01</t>
        </is>
      </c>
      <c r="B106" s="39" t="inlineStr">
        <is>
          <t>P3</t>
        </is>
      </c>
      <c r="C106" s="22" t="inlineStr">
        <is>
          <t>結婚</t>
        </is>
      </c>
      <c r="D106" s="39" t="n">
        <v>3</v>
      </c>
      <c r="E106" s="40" t="inlineStr">
        <is>
          <t>予算の上限を決める</t>
        </is>
      </c>
      <c r="F106" s="24" t="inlineStr">
        <is>
          <t>上限額が数字で決まっている</t>
        </is>
      </c>
      <c r="G106" s="24" t="inlineStr"/>
      <c r="H106" s="24" t="inlineStr"/>
      <c r="I106" s="24" t="inlineStr"/>
      <c r="J106" s="39" t="n">
        <v>9</v>
      </c>
      <c r="K106" s="41">
        <f>EDATE('はじめに'!$C$5,J106)</f>
        <v/>
      </c>
      <c r="L106" s="39" t="inlineStr">
        <is>
          <t>任意</t>
        </is>
      </c>
      <c r="M106" s="39" t="inlineStr">
        <is>
          <t>2人</t>
        </is>
      </c>
      <c r="N106" s="39" t="inlineStr">
        <is>
          <t>30分</t>
        </is>
      </c>
      <c r="O106" s="24" t="inlineStr"/>
      <c r="P106" s="24" t="inlineStr"/>
      <c r="Q106" s="38" t="inlineStr">
        <is>
          <t>未着手</t>
        </is>
      </c>
      <c r="R106" s="28" t="inlineStr"/>
    </row>
    <row r="107" outlineLevel="1">
      <c r="A107" s="42" t="inlineStr">
        <is>
          <t>P3-02-02</t>
        </is>
      </c>
      <c r="B107" s="42" t="inlineStr">
        <is>
          <t>P3</t>
        </is>
      </c>
      <c r="C107" s="43" t="inlineStr">
        <is>
          <t>結婚</t>
        </is>
      </c>
      <c r="D107" s="42" t="n">
        <v>3</v>
      </c>
      <c r="E107" s="44" t="inlineStr">
        <is>
          <t>3店舗以上で試着して比較する</t>
        </is>
      </c>
      <c r="F107" s="45" t="inlineStr">
        <is>
          <t>候補が絞れている</t>
        </is>
      </c>
      <c r="G107" s="45" t="inlineStr"/>
      <c r="H107" s="45" t="inlineStr"/>
      <c r="I107" s="45" t="inlineStr"/>
      <c r="J107" s="42" t="n">
        <v>9</v>
      </c>
      <c r="K107" s="46">
        <f>EDATE('はじめに'!$C$5,J107)</f>
        <v/>
      </c>
      <c r="L107" s="42" t="inlineStr">
        <is>
          <t>任意</t>
        </is>
      </c>
      <c r="M107" s="42" t="inlineStr">
        <is>
          <t>2人</t>
        </is>
      </c>
      <c r="N107" s="42" t="inlineStr">
        <is>
          <t>1日</t>
        </is>
      </c>
      <c r="O107" s="45" t="inlineStr"/>
      <c r="P107" s="45" t="inlineStr"/>
      <c r="Q107" s="38" t="inlineStr">
        <is>
          <t>未着手</t>
        </is>
      </c>
      <c r="R107" s="28" t="inlineStr"/>
    </row>
    <row r="108" outlineLevel="1">
      <c r="A108" s="39" t="inlineStr">
        <is>
          <t>P3-02-03</t>
        </is>
      </c>
      <c r="B108" s="39" t="inlineStr">
        <is>
          <t>P3</t>
        </is>
      </c>
      <c r="C108" s="22" t="inlineStr">
        <is>
          <t>結婚</t>
        </is>
      </c>
      <c r="D108" s="39" t="n">
        <v>3</v>
      </c>
      <c r="E108" s="40" t="inlineStr">
        <is>
          <t>発注する（サイズ直し・刻印で2〜4週間かかる）</t>
        </is>
      </c>
      <c r="F108" s="24" t="inlineStr">
        <is>
          <t>受け取り日が決まっている</t>
        </is>
      </c>
      <c r="G108" s="24" t="inlineStr"/>
      <c r="H108" s="24" t="inlineStr"/>
      <c r="I108" s="24" t="inlineStr"/>
      <c r="J108" s="39" t="n">
        <v>10</v>
      </c>
      <c r="K108" s="41">
        <f>EDATE('はじめに'!$C$5,J108)</f>
        <v/>
      </c>
      <c r="L108" s="39" t="inlineStr">
        <is>
          <t>任意</t>
        </is>
      </c>
      <c r="M108" s="39" t="inlineStr">
        <is>
          <t>どちらか</t>
        </is>
      </c>
      <c r="N108" s="39" t="inlineStr">
        <is>
          <t>1時間</t>
        </is>
      </c>
      <c r="O108" s="24" t="inlineStr"/>
      <c r="P108" s="24" t="inlineStr"/>
      <c r="Q108" s="38" t="inlineStr">
        <is>
          <t>未着手</t>
        </is>
      </c>
      <c r="R108" s="28" t="inlineStr"/>
    </row>
    <row r="109">
      <c r="A109" s="33" t="inlineStr">
        <is>
          <t>P3-03</t>
        </is>
      </c>
      <c r="B109" s="33" t="inlineStr">
        <is>
          <t>P3</t>
        </is>
      </c>
      <c r="C109" s="34" t="inlineStr">
        <is>
          <t>結婚</t>
        </is>
      </c>
      <c r="D109" s="33" t="n">
        <v>2</v>
      </c>
      <c r="E109" s="35" t="inlineStr">
        <is>
          <t>両家への挨拶を行う（順番は女性側から）</t>
        </is>
      </c>
      <c r="F109" s="36" t="inlineStr">
        <is>
          <t>両家から結婚の了承を得ている</t>
        </is>
      </c>
      <c r="G109" s="36" t="inlineStr">
        <is>
          <t>いつ、どこで、何を着ていくか、誰が何を話すか</t>
        </is>
      </c>
      <c r="H109" s="36" t="inlineStr">
        <is>
          <t>実家／料亭／ホテルのレストラン</t>
        </is>
      </c>
      <c r="I109" s="36" t="inlineStr">
        <is>
          <t>手土産（3,000〜5,000円）、服装、切り出し方、座る位置まで事前に決めておくと事故らない</t>
        </is>
      </c>
      <c r="J109" s="33" t="n">
        <v>10</v>
      </c>
      <c r="K109" s="37">
        <f>EDATE('はじめに'!$C$5,J109)</f>
        <v/>
      </c>
      <c r="L109" s="33" t="inlineStr">
        <is>
          <t>推奨</t>
        </is>
      </c>
      <c r="M109" s="33" t="inlineStr">
        <is>
          <t>2人</t>
        </is>
      </c>
      <c r="N109" s="33" t="inlineStr">
        <is>
          <t>2〜4週間</t>
        </is>
      </c>
      <c r="O109" s="36" t="inlineStr">
        <is>
          <t>1〜3万円</t>
        </is>
      </c>
      <c r="P109" s="36" t="inlineStr">
        <is>
          <t>プロポーズ</t>
        </is>
      </c>
      <c r="Q109" s="38" t="inlineStr">
        <is>
          <t>未着手</t>
        </is>
      </c>
      <c r="R109" s="28" t="inlineStr"/>
    </row>
    <row r="110" outlineLevel="1">
      <c r="A110" s="39" t="inlineStr">
        <is>
          <t>P3-03-01</t>
        </is>
      </c>
      <c r="B110" s="39" t="inlineStr">
        <is>
          <t>P3</t>
        </is>
      </c>
      <c r="C110" s="22" t="inlineStr">
        <is>
          <t>結婚</t>
        </is>
      </c>
      <c r="D110" s="39" t="n">
        <v>3</v>
      </c>
      <c r="E110" s="40" t="inlineStr">
        <is>
          <t>訪問日程を両家と調整する（女性側を先に）</t>
        </is>
      </c>
      <c r="F110" s="24" t="inlineStr">
        <is>
          <t>2件の日程が決まっている</t>
        </is>
      </c>
      <c r="G110" s="24" t="inlineStr"/>
      <c r="H110" s="24" t="inlineStr"/>
      <c r="I110" s="24" t="inlineStr"/>
      <c r="J110" s="39" t="n">
        <v>10</v>
      </c>
      <c r="K110" s="41">
        <f>EDATE('はじめに'!$C$5,J110)</f>
        <v/>
      </c>
      <c r="L110" s="39" t="inlineStr">
        <is>
          <t>推奨</t>
        </is>
      </c>
      <c r="M110" s="39" t="inlineStr">
        <is>
          <t>2人</t>
        </is>
      </c>
      <c r="N110" s="39" t="inlineStr">
        <is>
          <t>1週間</t>
        </is>
      </c>
      <c r="O110" s="24" t="inlineStr"/>
      <c r="P110" s="24" t="inlineStr"/>
      <c r="Q110" s="38" t="inlineStr">
        <is>
          <t>未着手</t>
        </is>
      </c>
      <c r="R110" s="28" t="inlineStr"/>
    </row>
    <row r="111" outlineLevel="1">
      <c r="A111" s="42" t="inlineStr">
        <is>
          <t>P3-03-02</t>
        </is>
      </c>
      <c r="B111" s="42" t="inlineStr">
        <is>
          <t>P3</t>
        </is>
      </c>
      <c r="C111" s="43" t="inlineStr">
        <is>
          <t>結婚</t>
        </is>
      </c>
      <c r="D111" s="42" t="n">
        <v>3</v>
      </c>
      <c r="E111" s="44" t="inlineStr">
        <is>
          <t>手土産を用意する（相手の好みと地元の名産は避ける）</t>
        </is>
      </c>
      <c r="F111" s="45" t="inlineStr">
        <is>
          <t>手土産が用意できている</t>
        </is>
      </c>
      <c r="G111" s="45" t="inlineStr"/>
      <c r="H111" s="45" t="inlineStr"/>
      <c r="I111" s="45" t="inlineStr"/>
      <c r="J111" s="42" t="n">
        <v>10</v>
      </c>
      <c r="K111" s="46">
        <f>EDATE('はじめに'!$C$5,J111)</f>
        <v/>
      </c>
      <c r="L111" s="42" t="inlineStr">
        <is>
          <t>推奨</t>
        </is>
      </c>
      <c r="M111" s="42" t="inlineStr">
        <is>
          <t>2人</t>
        </is>
      </c>
      <c r="N111" s="42" t="inlineStr">
        <is>
          <t>1時間</t>
        </is>
      </c>
      <c r="O111" s="45" t="inlineStr"/>
      <c r="P111" s="45" t="inlineStr"/>
      <c r="Q111" s="38" t="inlineStr">
        <is>
          <t>未着手</t>
        </is>
      </c>
      <c r="R111" s="28" t="inlineStr"/>
    </row>
    <row r="112" outlineLevel="1">
      <c r="A112" s="39" t="inlineStr">
        <is>
          <t>P3-03-03</t>
        </is>
      </c>
      <c r="B112" s="39" t="inlineStr">
        <is>
          <t>P3</t>
        </is>
      </c>
      <c r="C112" s="22" t="inlineStr">
        <is>
          <t>結婚</t>
        </is>
      </c>
      <c r="D112" s="39" t="n">
        <v>3</v>
      </c>
      <c r="E112" s="40" t="inlineStr">
        <is>
          <t>切り出す言葉と、聞かれそうな質問への回答を準備する</t>
        </is>
      </c>
      <c r="F112" s="24" t="inlineStr">
        <is>
          <t>仕事・収入・住まい・式の予定に答えられる</t>
        </is>
      </c>
      <c r="G112" s="24" t="inlineStr"/>
      <c r="H112" s="24" t="inlineStr"/>
      <c r="I112" s="24" t="inlineStr"/>
      <c r="J112" s="39" t="n">
        <v>10</v>
      </c>
      <c r="K112" s="41">
        <f>EDATE('はじめに'!$C$5,J112)</f>
        <v/>
      </c>
      <c r="L112" s="39" t="inlineStr">
        <is>
          <t>推奨</t>
        </is>
      </c>
      <c r="M112" s="39" t="inlineStr">
        <is>
          <t>2人</t>
        </is>
      </c>
      <c r="N112" s="39" t="inlineStr">
        <is>
          <t>1時間</t>
        </is>
      </c>
      <c r="O112" s="24" t="inlineStr"/>
      <c r="P112" s="24" t="inlineStr"/>
      <c r="Q112" s="38" t="inlineStr">
        <is>
          <t>未着手</t>
        </is>
      </c>
      <c r="R112" s="28" t="inlineStr"/>
    </row>
    <row r="113" outlineLevel="1">
      <c r="A113" s="42" t="inlineStr">
        <is>
          <t>P3-03-04</t>
        </is>
      </c>
      <c r="B113" s="42" t="inlineStr">
        <is>
          <t>P3</t>
        </is>
      </c>
      <c r="C113" s="43" t="inlineStr">
        <is>
          <t>結婚</t>
        </is>
      </c>
      <c r="D113" s="42" t="n">
        <v>3</v>
      </c>
      <c r="E113" s="44" t="inlineStr">
        <is>
          <t>訪問を実施し、了承を得る</t>
        </is>
      </c>
      <c r="F113" s="45" t="inlineStr">
        <is>
          <t>両家の了承が取れている</t>
        </is>
      </c>
      <c r="G113" s="45" t="inlineStr"/>
      <c r="H113" s="45" t="inlineStr"/>
      <c r="I113" s="45" t="inlineStr"/>
      <c r="J113" s="42" t="n">
        <v>10</v>
      </c>
      <c r="K113" s="46">
        <f>EDATE('はじめに'!$C$5,J113)</f>
        <v/>
      </c>
      <c r="L113" s="42" t="inlineStr">
        <is>
          <t>推奨</t>
        </is>
      </c>
      <c r="M113" s="42" t="inlineStr">
        <is>
          <t>2人</t>
        </is>
      </c>
      <c r="N113" s="42" t="inlineStr">
        <is>
          <t>各2時間</t>
        </is>
      </c>
      <c r="O113" s="45" t="inlineStr"/>
      <c r="P113" s="45" t="inlineStr"/>
      <c r="Q113" s="38" t="inlineStr">
        <is>
          <t>未着手</t>
        </is>
      </c>
      <c r="R113" s="28" t="inlineStr"/>
    </row>
    <row r="114" outlineLevel="1">
      <c r="A114" s="39" t="inlineStr">
        <is>
          <t>P3-03-05</t>
        </is>
      </c>
      <c r="B114" s="39" t="inlineStr">
        <is>
          <t>P3</t>
        </is>
      </c>
      <c r="C114" s="22" t="inlineStr">
        <is>
          <t>結婚</t>
        </is>
      </c>
      <c r="D114" s="39" t="n">
        <v>3</v>
      </c>
      <c r="E114" s="40" t="inlineStr">
        <is>
          <t>訪問後にお礼の連絡をする（各自が自分の実親に、相手の親にも一言）</t>
        </is>
      </c>
      <c r="F114" s="24" t="inlineStr">
        <is>
          <t>お礼が済んでいる</t>
        </is>
      </c>
      <c r="G114" s="24" t="inlineStr"/>
      <c r="H114" s="24" t="inlineStr"/>
      <c r="I114" s="24" t="inlineStr"/>
      <c r="J114" s="39" t="n">
        <v>10</v>
      </c>
      <c r="K114" s="41">
        <f>EDATE('はじめに'!$C$5,J114)</f>
        <v/>
      </c>
      <c r="L114" s="39" t="inlineStr">
        <is>
          <t>任意</t>
        </is>
      </c>
      <c r="M114" s="39" t="inlineStr">
        <is>
          <t>2人</t>
        </is>
      </c>
      <c r="N114" s="39" t="inlineStr">
        <is>
          <t>15分</t>
        </is>
      </c>
      <c r="O114" s="24" t="inlineStr"/>
      <c r="P114" s="24" t="inlineStr"/>
      <c r="Q114" s="38" t="inlineStr">
        <is>
          <t>未着手</t>
        </is>
      </c>
      <c r="R114" s="28" t="inlineStr"/>
    </row>
    <row r="115">
      <c r="A115" s="33" t="inlineStr">
        <is>
          <t>P3-04</t>
        </is>
      </c>
      <c r="B115" s="33" t="inlineStr">
        <is>
          <t>P3</t>
        </is>
      </c>
      <c r="C115" s="34" t="inlineStr">
        <is>
          <t>結婚</t>
        </is>
      </c>
      <c r="D115" s="33" t="n">
        <v>2</v>
      </c>
      <c r="E115" s="35" t="inlineStr">
        <is>
          <t>両家顔合わせ or 結納を実施する</t>
        </is>
      </c>
      <c r="F115" s="36" t="inlineStr">
        <is>
          <t>両家が顔を合わせ、結婚の方針を共有している</t>
        </is>
      </c>
      <c r="G115" s="36" t="inlineStr">
        <is>
          <t>結納をするか、食事会形式にするか</t>
        </is>
      </c>
      <c r="H115" s="36" t="inlineStr">
        <is>
          <t>正式結納／略式結納／顔合わせ食事会（現在の主流）／やらない</t>
        </is>
      </c>
      <c r="I115" s="36" t="inlineStr">
        <is>
          <t>地域と家によって常識が全く違う。両家の意向を先に各自の実親に確認してから形式を決める</t>
        </is>
      </c>
      <c r="J115" s="33" t="n">
        <v>11</v>
      </c>
      <c r="K115" s="37">
        <f>EDATE('はじめに'!$C$5,J115)</f>
        <v/>
      </c>
      <c r="L115" s="33" t="inlineStr">
        <is>
          <t>推奨</t>
        </is>
      </c>
      <c r="M115" s="33" t="inlineStr">
        <is>
          <t>2人</t>
        </is>
      </c>
      <c r="N115" s="33" t="inlineStr">
        <is>
          <t>1ヶ月</t>
        </is>
      </c>
      <c r="O115" s="36" t="inlineStr">
        <is>
          <t>5〜20万円</t>
        </is>
      </c>
      <c r="P115" s="36" t="inlineStr">
        <is>
          <t>両家への挨拶</t>
        </is>
      </c>
      <c r="Q115" s="38" t="inlineStr">
        <is>
          <t>未着手</t>
        </is>
      </c>
      <c r="R115" s="28" t="inlineStr"/>
    </row>
    <row r="116" outlineLevel="1">
      <c r="A116" s="39" t="inlineStr">
        <is>
          <t>P3-04-01</t>
        </is>
      </c>
      <c r="B116" s="39" t="inlineStr">
        <is>
          <t>P3</t>
        </is>
      </c>
      <c r="C116" s="22" t="inlineStr">
        <is>
          <t>結婚</t>
        </is>
      </c>
      <c r="D116" s="39" t="n">
        <v>3</v>
      </c>
      <c r="E116" s="40" t="inlineStr">
        <is>
          <t>各自が自分の実親に「結納をやりたいか」を確認する</t>
        </is>
      </c>
      <c r="F116" s="24" t="inlineStr">
        <is>
          <t>両家の希望が分かっている</t>
        </is>
      </c>
      <c r="G116" s="24" t="inlineStr"/>
      <c r="H116" s="24" t="inlineStr"/>
      <c r="I116" s="24" t="inlineStr"/>
      <c r="J116" s="39" t="n">
        <v>11</v>
      </c>
      <c r="K116" s="41">
        <f>EDATE('はじめに'!$C$5,J116)</f>
        <v/>
      </c>
      <c r="L116" s="39" t="inlineStr">
        <is>
          <t>推奨</t>
        </is>
      </c>
      <c r="M116" s="39" t="inlineStr">
        <is>
          <t>2人</t>
        </is>
      </c>
      <c r="N116" s="39" t="inlineStr">
        <is>
          <t>30分</t>
        </is>
      </c>
      <c r="O116" s="24" t="inlineStr"/>
      <c r="P116" s="24" t="inlineStr"/>
      <c r="Q116" s="38" t="inlineStr">
        <is>
          <t>未着手</t>
        </is>
      </c>
      <c r="R116" s="28" t="inlineStr"/>
    </row>
    <row r="117" outlineLevel="1">
      <c r="A117" s="42" t="inlineStr">
        <is>
          <t>P3-04-02</t>
        </is>
      </c>
      <c r="B117" s="42" t="inlineStr">
        <is>
          <t>P3</t>
        </is>
      </c>
      <c r="C117" s="43" t="inlineStr">
        <is>
          <t>結婚</t>
        </is>
      </c>
      <c r="D117" s="42" t="n">
        <v>3</v>
      </c>
      <c r="E117" s="44" t="inlineStr">
        <is>
          <t>形式を決める（結納／食事会／なし）</t>
        </is>
      </c>
      <c r="F117" s="45" t="inlineStr">
        <is>
          <t>形式が確定している</t>
        </is>
      </c>
      <c r="G117" s="45" t="inlineStr"/>
      <c r="H117" s="45" t="inlineStr"/>
      <c r="I117" s="45" t="inlineStr"/>
      <c r="J117" s="42" t="n">
        <v>11</v>
      </c>
      <c r="K117" s="46">
        <f>EDATE('はじめに'!$C$5,J117)</f>
        <v/>
      </c>
      <c r="L117" s="42" t="inlineStr">
        <is>
          <t>推奨</t>
        </is>
      </c>
      <c r="M117" s="42" t="inlineStr">
        <is>
          <t>2人</t>
        </is>
      </c>
      <c r="N117" s="42" t="inlineStr">
        <is>
          <t>30分</t>
        </is>
      </c>
      <c r="O117" s="45" t="inlineStr"/>
      <c r="P117" s="45" t="inlineStr"/>
      <c r="Q117" s="38" t="inlineStr">
        <is>
          <t>未着手</t>
        </is>
      </c>
      <c r="R117" s="28" t="inlineStr"/>
    </row>
    <row r="118" outlineLevel="1">
      <c r="A118" s="39" t="inlineStr">
        <is>
          <t>P3-04-03</t>
        </is>
      </c>
      <c r="B118" s="39" t="inlineStr">
        <is>
          <t>P3</t>
        </is>
      </c>
      <c r="C118" s="22" t="inlineStr">
        <is>
          <t>結婚</t>
        </is>
      </c>
      <c r="D118" s="39" t="n">
        <v>3</v>
      </c>
      <c r="E118" s="40" t="inlineStr">
        <is>
          <t>会場を予約する（個室・両家の中間地点・アクセス）</t>
        </is>
      </c>
      <c r="F118" s="24" t="inlineStr">
        <is>
          <t>予約が取れている</t>
        </is>
      </c>
      <c r="G118" s="24" t="inlineStr"/>
      <c r="H118" s="24" t="inlineStr"/>
      <c r="I118" s="24" t="inlineStr"/>
      <c r="J118" s="39" t="n">
        <v>11</v>
      </c>
      <c r="K118" s="41">
        <f>EDATE('はじめに'!$C$5,J118)</f>
        <v/>
      </c>
      <c r="L118" s="39" t="inlineStr">
        <is>
          <t>推奨</t>
        </is>
      </c>
      <c r="M118" s="39" t="inlineStr">
        <is>
          <t>どちらか</t>
        </is>
      </c>
      <c r="N118" s="39" t="inlineStr">
        <is>
          <t>2時間</t>
        </is>
      </c>
      <c r="O118" s="24" t="inlineStr"/>
      <c r="P118" s="24" t="inlineStr"/>
      <c r="Q118" s="38" t="inlineStr">
        <is>
          <t>未着手</t>
        </is>
      </c>
      <c r="R118" s="28" t="inlineStr"/>
    </row>
    <row r="119" outlineLevel="1">
      <c r="A119" s="42" t="inlineStr">
        <is>
          <t>P3-04-04</t>
        </is>
      </c>
      <c r="B119" s="42" t="inlineStr">
        <is>
          <t>P3</t>
        </is>
      </c>
      <c r="C119" s="43" t="inlineStr">
        <is>
          <t>結婚</t>
        </is>
      </c>
      <c r="D119" s="42" t="n">
        <v>3</v>
      </c>
      <c r="E119" s="44" t="inlineStr">
        <is>
          <t>費用負担を決める（両家折半／本人たちが負担）</t>
        </is>
      </c>
      <c r="F119" s="45" t="inlineStr">
        <is>
          <t>誰がいくら払うか決まっている</t>
        </is>
      </c>
      <c r="G119" s="45" t="inlineStr"/>
      <c r="H119" s="45" t="inlineStr"/>
      <c r="I119" s="45" t="inlineStr"/>
      <c r="J119" s="42" t="n">
        <v>11</v>
      </c>
      <c r="K119" s="46">
        <f>EDATE('はじめに'!$C$5,J119)</f>
        <v/>
      </c>
      <c r="L119" s="42" t="inlineStr">
        <is>
          <t>推奨</t>
        </is>
      </c>
      <c r="M119" s="42" t="inlineStr">
        <is>
          <t>2人</t>
        </is>
      </c>
      <c r="N119" s="42" t="inlineStr">
        <is>
          <t>30分</t>
        </is>
      </c>
      <c r="O119" s="45" t="inlineStr"/>
      <c r="P119" s="45" t="inlineStr"/>
      <c r="Q119" s="38" t="inlineStr">
        <is>
          <t>未着手</t>
        </is>
      </c>
      <c r="R119" s="28" t="inlineStr"/>
    </row>
    <row r="120" outlineLevel="1">
      <c r="A120" s="39" t="inlineStr">
        <is>
          <t>P3-04-05</t>
        </is>
      </c>
      <c r="B120" s="39" t="inlineStr">
        <is>
          <t>P3</t>
        </is>
      </c>
      <c r="C120" s="22" t="inlineStr">
        <is>
          <t>結婚</t>
        </is>
      </c>
      <c r="D120" s="39" t="n">
        <v>3</v>
      </c>
      <c r="E120" s="40" t="inlineStr">
        <is>
          <t>しおり（進行表・家族紹介）を作る</t>
        </is>
      </c>
      <c r="F120" s="24" t="inlineStr">
        <is>
          <t>当日の進行が決まっている</t>
        </is>
      </c>
      <c r="G120" s="24" t="inlineStr"/>
      <c r="H120" s="24" t="inlineStr"/>
      <c r="I120" s="24" t="inlineStr"/>
      <c r="J120" s="39" t="n">
        <v>11</v>
      </c>
      <c r="K120" s="41">
        <f>EDATE('はじめに'!$C$5,J120)</f>
        <v/>
      </c>
      <c r="L120" s="39" t="inlineStr">
        <is>
          <t>任意</t>
        </is>
      </c>
      <c r="M120" s="39" t="inlineStr">
        <is>
          <t>どちらか</t>
        </is>
      </c>
      <c r="N120" s="39" t="inlineStr">
        <is>
          <t>2時間</t>
        </is>
      </c>
      <c r="O120" s="24" t="inlineStr"/>
      <c r="P120" s="24" t="inlineStr"/>
      <c r="Q120" s="38" t="inlineStr">
        <is>
          <t>未着手</t>
        </is>
      </c>
      <c r="R120" s="28" t="inlineStr"/>
    </row>
    <row r="121" outlineLevel="1">
      <c r="A121" s="42" t="inlineStr">
        <is>
          <t>P3-04-06</t>
        </is>
      </c>
      <c r="B121" s="42" t="inlineStr">
        <is>
          <t>P3</t>
        </is>
      </c>
      <c r="C121" s="43" t="inlineStr">
        <is>
          <t>結婚</t>
        </is>
      </c>
      <c r="D121" s="42" t="n">
        <v>3</v>
      </c>
      <c r="E121" s="44" t="inlineStr">
        <is>
          <t>手土産・記念品を用意する</t>
        </is>
      </c>
      <c r="F121" s="45" t="inlineStr">
        <is>
          <t>用意できている</t>
        </is>
      </c>
      <c r="G121" s="45" t="inlineStr"/>
      <c r="H121" s="45" t="inlineStr"/>
      <c r="I121" s="45" t="inlineStr"/>
      <c r="J121" s="42" t="n">
        <v>11</v>
      </c>
      <c r="K121" s="46">
        <f>EDATE('はじめに'!$C$5,J121)</f>
        <v/>
      </c>
      <c r="L121" s="42" t="inlineStr">
        <is>
          <t>任意</t>
        </is>
      </c>
      <c r="M121" s="42" t="inlineStr">
        <is>
          <t>2人</t>
        </is>
      </c>
      <c r="N121" s="42" t="inlineStr">
        <is>
          <t>1時間</t>
        </is>
      </c>
      <c r="O121" s="45" t="inlineStr"/>
      <c r="P121" s="45" t="inlineStr"/>
      <c r="Q121" s="38" t="inlineStr">
        <is>
          <t>未着手</t>
        </is>
      </c>
      <c r="R121" s="28" t="inlineStr"/>
    </row>
    <row r="122" outlineLevel="1">
      <c r="A122" s="39" t="inlineStr">
        <is>
          <t>P3-04-07</t>
        </is>
      </c>
      <c r="B122" s="39" t="inlineStr">
        <is>
          <t>P3</t>
        </is>
      </c>
      <c r="C122" s="22" t="inlineStr">
        <is>
          <t>結婚</t>
        </is>
      </c>
      <c r="D122" s="39" t="n">
        <v>3</v>
      </c>
      <c r="E122" s="40" t="inlineStr">
        <is>
          <t>顔合わせを実施し、写真を撮る</t>
        </is>
      </c>
      <c r="F122" s="24" t="inlineStr">
        <is>
          <t>実施済み</t>
        </is>
      </c>
      <c r="G122" s="24" t="inlineStr"/>
      <c r="H122" s="24" t="inlineStr"/>
      <c r="I122" s="24" t="inlineStr"/>
      <c r="J122" s="39" t="n">
        <v>11</v>
      </c>
      <c r="K122" s="41">
        <f>EDATE('はじめに'!$C$5,J122)</f>
        <v/>
      </c>
      <c r="L122" s="39" t="inlineStr">
        <is>
          <t>推奨</t>
        </is>
      </c>
      <c r="M122" s="39" t="inlineStr">
        <is>
          <t>2人</t>
        </is>
      </c>
      <c r="N122" s="39" t="inlineStr">
        <is>
          <t>3時間</t>
        </is>
      </c>
      <c r="O122" s="24" t="inlineStr"/>
      <c r="P122" s="24" t="inlineStr"/>
      <c r="Q122" s="38" t="inlineStr">
        <is>
          <t>未着手</t>
        </is>
      </c>
      <c r="R122" s="28" t="inlineStr"/>
    </row>
    <row r="123">
      <c r="A123" s="33" t="inlineStr">
        <is>
          <t>P3-05</t>
        </is>
      </c>
      <c r="B123" s="33" t="inlineStr">
        <is>
          <t>P3</t>
        </is>
      </c>
      <c r="C123" s="34" t="inlineStr">
        <is>
          <t>方針</t>
        </is>
      </c>
      <c r="D123" s="33" t="n">
        <v>2</v>
      </c>
      <c r="E123" s="35" t="inlineStr">
        <is>
          <t>結婚後の生活方針を合意する</t>
        </is>
      </c>
      <c r="F123" s="36" t="inlineStr">
        <is>
          <t>住まい・共働き・子どもの人数と時期・家事分担の方針が1枚になっている</t>
        </is>
      </c>
      <c r="G123" s="36" t="inlineStr">
        <is>
          <t>5年後どういう暮らしをしていたいか</t>
        </is>
      </c>
      <c r="H123" s="36" t="inlineStr"/>
      <c r="I123" s="36" t="inlineStr">
        <is>
          <t>ここで子どもの希望人数と時期を明示しておくと、P7以降の温度差が減る</t>
        </is>
      </c>
      <c r="J123" s="33" t="n">
        <v>10</v>
      </c>
      <c r="K123" s="37">
        <f>EDATE('はじめに'!$C$5,J123)</f>
        <v/>
      </c>
      <c r="L123" s="33" t="inlineStr">
        <is>
          <t>推奨</t>
        </is>
      </c>
      <c r="M123" s="33" t="inlineStr">
        <is>
          <t>2人</t>
        </is>
      </c>
      <c r="N123" s="33" t="inlineStr">
        <is>
          <t>3時間</t>
        </is>
      </c>
      <c r="O123" s="36" t="inlineStr"/>
      <c r="P123" s="36" t="inlineStr"/>
      <c r="Q123" s="38" t="inlineStr">
        <is>
          <t>未着手</t>
        </is>
      </c>
      <c r="R123" s="28" t="inlineStr"/>
    </row>
    <row r="124" outlineLevel="1">
      <c r="A124" s="39" t="inlineStr">
        <is>
          <t>P3-05-01</t>
        </is>
      </c>
      <c r="B124" s="39" t="inlineStr">
        <is>
          <t>P3</t>
        </is>
      </c>
      <c r="C124" s="22" t="inlineStr">
        <is>
          <t>方針</t>
        </is>
      </c>
      <c r="D124" s="39" t="n">
        <v>3</v>
      </c>
      <c r="E124" s="40" t="inlineStr">
        <is>
          <t>子どもを持つか、何人か、いつ頃かを言葉にして合わせる</t>
        </is>
      </c>
      <c r="F124" s="24" t="inlineStr">
        <is>
          <t>希望人数と目標時期が共有されている</t>
        </is>
      </c>
      <c r="G124" s="24" t="inlineStr"/>
      <c r="H124" s="24" t="inlineStr"/>
      <c r="I124" s="24" t="inlineStr"/>
      <c r="J124" s="39" t="n">
        <v>10</v>
      </c>
      <c r="K124" s="41">
        <f>EDATE('はじめに'!$C$5,J124)</f>
        <v/>
      </c>
      <c r="L124" s="39" t="inlineStr">
        <is>
          <t>推奨</t>
        </is>
      </c>
      <c r="M124" s="39" t="inlineStr">
        <is>
          <t>2人</t>
        </is>
      </c>
      <c r="N124" s="39" t="inlineStr">
        <is>
          <t>1時間</t>
        </is>
      </c>
      <c r="O124" s="24" t="inlineStr"/>
      <c r="P124" s="24" t="inlineStr"/>
      <c r="Q124" s="38" t="inlineStr">
        <is>
          <t>未着手</t>
        </is>
      </c>
      <c r="R124" s="28" t="inlineStr"/>
    </row>
    <row r="125" outlineLevel="1">
      <c r="A125" s="42" t="inlineStr">
        <is>
          <t>P3-05-02</t>
        </is>
      </c>
      <c r="B125" s="42" t="inlineStr">
        <is>
          <t>P3</t>
        </is>
      </c>
      <c r="C125" s="43" t="inlineStr">
        <is>
          <t>方針</t>
        </is>
      </c>
      <c r="D125" s="42" t="n">
        <v>3</v>
      </c>
      <c r="E125" s="44" t="inlineStr">
        <is>
          <t>共働きを続けるか、どちらが育休を長く取るかの方向性を出す</t>
        </is>
      </c>
      <c r="F125" s="45" t="inlineStr">
        <is>
          <t>方向性が決まっている</t>
        </is>
      </c>
      <c r="G125" s="45" t="inlineStr"/>
      <c r="H125" s="45" t="inlineStr"/>
      <c r="I125" s="45" t="inlineStr"/>
      <c r="J125" s="42" t="n">
        <v>10</v>
      </c>
      <c r="K125" s="46">
        <f>EDATE('はじめに'!$C$5,J125)</f>
        <v/>
      </c>
      <c r="L125" s="42" t="inlineStr">
        <is>
          <t>推奨</t>
        </is>
      </c>
      <c r="M125" s="42" t="inlineStr">
        <is>
          <t>2人</t>
        </is>
      </c>
      <c r="N125" s="42" t="inlineStr">
        <is>
          <t>1時間</t>
        </is>
      </c>
      <c r="O125" s="45" t="inlineStr"/>
      <c r="P125" s="45" t="inlineStr"/>
      <c r="Q125" s="38" t="inlineStr">
        <is>
          <t>未着手</t>
        </is>
      </c>
      <c r="R125" s="28" t="inlineStr"/>
    </row>
    <row r="126" outlineLevel="1">
      <c r="A126" s="39" t="inlineStr">
        <is>
          <t>P3-05-03</t>
        </is>
      </c>
      <c r="B126" s="39" t="inlineStr">
        <is>
          <t>P3</t>
        </is>
      </c>
      <c r="C126" s="22" t="inlineStr">
        <is>
          <t>方針</t>
        </is>
      </c>
      <c r="D126" s="39" t="n">
        <v>3</v>
      </c>
      <c r="E126" s="40" t="inlineStr">
        <is>
          <t>住まいを賃貸で続けるか購入するか、時期の目安を出す</t>
        </is>
      </c>
      <c r="F126" s="24" t="inlineStr">
        <is>
          <t>方針が決まっている</t>
        </is>
      </c>
      <c r="G126" s="24" t="inlineStr"/>
      <c r="H126" s="24" t="inlineStr"/>
      <c r="I126" s="24" t="inlineStr"/>
      <c r="J126" s="39" t="n">
        <v>10</v>
      </c>
      <c r="K126" s="41">
        <f>EDATE('はじめに'!$C$5,J126)</f>
        <v/>
      </c>
      <c r="L126" s="39" t="inlineStr">
        <is>
          <t>任意</t>
        </is>
      </c>
      <c r="M126" s="39" t="inlineStr">
        <is>
          <t>2人</t>
        </is>
      </c>
      <c r="N126" s="39" t="inlineStr">
        <is>
          <t>1時間</t>
        </is>
      </c>
      <c r="O126" s="24" t="inlineStr"/>
      <c r="P126" s="24" t="inlineStr"/>
      <c r="Q126" s="38" t="inlineStr">
        <is>
          <t>未着手</t>
        </is>
      </c>
      <c r="R126" s="28" t="inlineStr"/>
    </row>
    <row r="127">
      <c r="A127" s="33" t="inlineStr">
        <is>
          <t>P3-06</t>
        </is>
      </c>
      <c r="B127" s="33" t="inlineStr">
        <is>
          <t>P3</t>
        </is>
      </c>
      <c r="C127" s="34" t="inlineStr">
        <is>
          <t>手続き</t>
        </is>
      </c>
      <c r="D127" s="33" t="n">
        <v>2</v>
      </c>
      <c r="E127" s="35" t="inlineStr">
        <is>
          <t>姓をどちらにするか決める</t>
        </is>
      </c>
      <c r="F127" s="36" t="inlineStr">
        <is>
          <t>どちらの姓にするかが確定し、改姓側が納得している</t>
        </is>
      </c>
      <c r="G127" s="36" t="inlineStr">
        <is>
          <t>改姓による実務負担とキャリア上の影響をどう扱うか</t>
        </is>
      </c>
      <c r="H127" s="36" t="inlineStr">
        <is>
          <t>夫の姓／妻の姓／旧姓の通称使用（勤務先の運用次第）</t>
        </is>
      </c>
      <c r="I127" s="36" t="inlineStr">
        <is>
          <t>改姓側に20〜30件の名義変更が発生する。論文・資格・営業実績が旧姓に紐づく場合は通称使用の可否を勤務先に確認する</t>
        </is>
      </c>
      <c r="J127" s="33" t="n">
        <v>10</v>
      </c>
      <c r="K127" s="37">
        <f>EDATE('はじめに'!$C$5,J127)</f>
        <v/>
      </c>
      <c r="L127" s="33" t="inlineStr">
        <is>
          <t>法定</t>
        </is>
      </c>
      <c r="M127" s="33" t="inlineStr">
        <is>
          <t>2人</t>
        </is>
      </c>
      <c r="N127" s="33" t="inlineStr">
        <is>
          <t>1〜2週間</t>
        </is>
      </c>
      <c r="O127" s="36" t="inlineStr"/>
      <c r="P127" s="36" t="inlineStr"/>
      <c r="Q127" s="38" t="inlineStr">
        <is>
          <t>未着手</t>
        </is>
      </c>
      <c r="R127" s="28" t="inlineStr"/>
    </row>
    <row r="128" outlineLevel="1">
      <c r="A128" s="39" t="inlineStr">
        <is>
          <t>P3-06-01</t>
        </is>
      </c>
      <c r="B128" s="39" t="inlineStr">
        <is>
          <t>P3</t>
        </is>
      </c>
      <c r="C128" s="22" t="inlineStr">
        <is>
          <t>手続き</t>
        </is>
      </c>
      <c r="D128" s="39" t="n">
        <v>3</v>
      </c>
      <c r="E128" s="40" t="inlineStr">
        <is>
          <t>改姓に伴う名義変更の対象を全部書き出す（20〜30件になる）</t>
        </is>
      </c>
      <c r="F128" s="24" t="inlineStr">
        <is>
          <t>変更リストができている</t>
        </is>
      </c>
      <c r="G128" s="24" t="inlineStr"/>
      <c r="H128" s="24" t="inlineStr"/>
      <c r="I128" s="24" t="inlineStr"/>
      <c r="J128" s="39" t="n">
        <v>10</v>
      </c>
      <c r="K128" s="41">
        <f>EDATE('はじめに'!$C$5,J128)</f>
        <v/>
      </c>
      <c r="L128" s="39" t="inlineStr">
        <is>
          <t>推奨</t>
        </is>
      </c>
      <c r="M128" s="39" t="inlineStr">
        <is>
          <t>2人</t>
        </is>
      </c>
      <c r="N128" s="39" t="inlineStr">
        <is>
          <t>1時間</t>
        </is>
      </c>
      <c r="O128" s="24" t="inlineStr"/>
      <c r="P128" s="24" t="inlineStr"/>
      <c r="Q128" s="38" t="inlineStr">
        <is>
          <t>未着手</t>
        </is>
      </c>
      <c r="R128" s="28" t="inlineStr"/>
    </row>
    <row r="129" outlineLevel="1">
      <c r="A129" s="42" t="inlineStr">
        <is>
          <t>P3-06-02</t>
        </is>
      </c>
      <c r="B129" s="42" t="inlineStr">
        <is>
          <t>P3</t>
        </is>
      </c>
      <c r="C129" s="43" t="inlineStr">
        <is>
          <t>手続き</t>
        </is>
      </c>
      <c r="D129" s="42" t="n">
        <v>3</v>
      </c>
      <c r="E129" s="44" t="inlineStr">
        <is>
          <t>各自の勤務先で旧姓の通称使用が可能か確認する</t>
        </is>
      </c>
      <c r="F129" s="45" t="inlineStr">
        <is>
          <t>可否が分かっている</t>
        </is>
      </c>
      <c r="G129" s="45" t="inlineStr"/>
      <c r="H129" s="45" t="inlineStr"/>
      <c r="I129" s="45" t="inlineStr"/>
      <c r="J129" s="42" t="n">
        <v>10</v>
      </c>
      <c r="K129" s="46">
        <f>EDATE('はじめに'!$C$5,J129)</f>
        <v/>
      </c>
      <c r="L129" s="42" t="inlineStr">
        <is>
          <t>推奨</t>
        </is>
      </c>
      <c r="M129" s="42" t="inlineStr">
        <is>
          <t>2人</t>
        </is>
      </c>
      <c r="N129" s="42" t="inlineStr">
        <is>
          <t>1時間</t>
        </is>
      </c>
      <c r="O129" s="45" t="inlineStr"/>
      <c r="P129" s="45" t="inlineStr"/>
      <c r="Q129" s="38" t="inlineStr">
        <is>
          <t>未着手</t>
        </is>
      </c>
      <c r="R129" s="28" t="inlineStr"/>
    </row>
    <row r="130" outlineLevel="1">
      <c r="A130" s="39" t="inlineStr">
        <is>
          <t>P3-06-03</t>
        </is>
      </c>
      <c r="B130" s="39" t="inlineStr">
        <is>
          <t>P3</t>
        </is>
      </c>
      <c r="C130" s="22" t="inlineStr">
        <is>
          <t>手続き</t>
        </is>
      </c>
      <c r="D130" s="39" t="n">
        <v>3</v>
      </c>
      <c r="E130" s="40" t="inlineStr">
        <is>
          <t>キャリア上の影響（資格・論文・名刺・実績）を洗い出す</t>
        </is>
      </c>
      <c r="F130" s="24" t="inlineStr">
        <is>
          <t>影響が可視化されている</t>
        </is>
      </c>
      <c r="G130" s="24" t="inlineStr"/>
      <c r="H130" s="24" t="inlineStr"/>
      <c r="I130" s="24" t="inlineStr"/>
      <c r="J130" s="39" t="n">
        <v>10</v>
      </c>
      <c r="K130" s="41">
        <f>EDATE('はじめに'!$C$5,J130)</f>
        <v/>
      </c>
      <c r="L130" s="39" t="inlineStr">
        <is>
          <t>任意</t>
        </is>
      </c>
      <c r="M130" s="39" t="inlineStr">
        <is>
          <t>2人</t>
        </is>
      </c>
      <c r="N130" s="39" t="inlineStr">
        <is>
          <t>30分</t>
        </is>
      </c>
      <c r="O130" s="24" t="inlineStr"/>
      <c r="P130" s="24" t="inlineStr"/>
      <c r="Q130" s="38" t="inlineStr">
        <is>
          <t>未着手</t>
        </is>
      </c>
      <c r="R130" s="28" t="inlineStr"/>
    </row>
    <row r="131" outlineLevel="1">
      <c r="A131" s="42" t="inlineStr">
        <is>
          <t>P3-06-04</t>
        </is>
      </c>
      <c r="B131" s="42" t="inlineStr">
        <is>
          <t>P3</t>
        </is>
      </c>
      <c r="C131" s="43" t="inlineStr">
        <is>
          <t>手続き</t>
        </is>
      </c>
      <c r="D131" s="42" t="n">
        <v>3</v>
      </c>
      <c r="E131" s="44" t="inlineStr">
        <is>
          <t>決定し、名義変更の作業を2人で分担する取り決めをする</t>
        </is>
      </c>
      <c r="F131" s="45" t="inlineStr">
        <is>
          <t>分担が決まっている</t>
        </is>
      </c>
      <c r="G131" s="45" t="inlineStr"/>
      <c r="H131" s="45" t="inlineStr"/>
      <c r="I131" s="45" t="inlineStr"/>
      <c r="J131" s="42" t="n">
        <v>11</v>
      </c>
      <c r="K131" s="46">
        <f>EDATE('はじめに'!$C$5,J131)</f>
        <v/>
      </c>
      <c r="L131" s="42" t="inlineStr">
        <is>
          <t>推奨</t>
        </is>
      </c>
      <c r="M131" s="42" t="inlineStr">
        <is>
          <t>2人</t>
        </is>
      </c>
      <c r="N131" s="42" t="inlineStr">
        <is>
          <t>30分</t>
        </is>
      </c>
      <c r="O131" s="45" t="inlineStr"/>
      <c r="P131" s="45" t="inlineStr"/>
      <c r="Q131" s="38" t="inlineStr">
        <is>
          <t>未着手</t>
        </is>
      </c>
      <c r="R131" s="28" t="inlineStr"/>
    </row>
    <row r="132">
      <c r="A132" s="33" t="inlineStr">
        <is>
          <t>P3-07</t>
        </is>
      </c>
      <c r="B132" s="33" t="inlineStr">
        <is>
          <t>P3</t>
        </is>
      </c>
      <c r="C132" s="34" t="inlineStr">
        <is>
          <t>結婚式</t>
        </is>
      </c>
      <c r="D132" s="33" t="n">
        <v>2</v>
      </c>
      <c r="E132" s="35" t="inlineStr">
        <is>
          <t>結婚式をやるかどうかを決める</t>
        </is>
      </c>
      <c r="F132" s="36" t="inlineStr">
        <is>
          <t>式の有無と形式が確定している</t>
        </is>
      </c>
      <c r="G132" s="36" t="inlineStr">
        <is>
          <t>何のために式をやるのか（誰に見せるための式か）</t>
        </is>
      </c>
      <c r="H132" s="36" t="inlineStr">
        <is>
          <t>①挙式＋披露宴 ②家族婚（20名以下） ③会費制1.5次会 ④フォトウェディングのみ ⑤ナシ婚</t>
        </is>
      </c>
      <c r="I132" s="36" t="inlineStr">
        <is>
          <t>判断軸：総予算と貯蓄／両家（特に親）の希望／招待したい人の数／妊活の開始時期（式を待つと妊活が遅れる）／年齢</t>
        </is>
      </c>
      <c r="J132" s="33" t="n">
        <v>10</v>
      </c>
      <c r="K132" s="37">
        <f>EDATE('はじめに'!$C$5,J132)</f>
        <v/>
      </c>
      <c r="L132" s="33" t="inlineStr">
        <is>
          <t>任意</t>
        </is>
      </c>
      <c r="M132" s="33" t="inlineStr">
        <is>
          <t>2人</t>
        </is>
      </c>
      <c r="N132" s="33" t="inlineStr">
        <is>
          <t>2〜4週間</t>
        </is>
      </c>
      <c r="O132" s="36" t="inlineStr"/>
      <c r="P132" s="36" t="inlineStr">
        <is>
          <t>結婚後の生活方針の合意</t>
        </is>
      </c>
      <c r="Q132" s="38" t="inlineStr">
        <is>
          <t>未着手</t>
        </is>
      </c>
      <c r="R132" s="28" t="inlineStr"/>
    </row>
    <row r="133" outlineLevel="1">
      <c r="A133" s="42" t="inlineStr">
        <is>
          <t>P3-07-01</t>
        </is>
      </c>
      <c r="B133" s="42" t="inlineStr">
        <is>
          <t>P3</t>
        </is>
      </c>
      <c r="C133" s="43" t="inlineStr">
        <is>
          <t>結婚式</t>
        </is>
      </c>
      <c r="D133" s="42" t="n">
        <v>3</v>
      </c>
      <c r="E133" s="44" t="inlineStr">
        <is>
          <t>各自が「式に何を求めるか」を書き出して交換する</t>
        </is>
      </c>
      <c r="F133" s="45" t="inlineStr">
        <is>
          <t>お互いの動機が分かっている</t>
        </is>
      </c>
      <c r="G133" s="45" t="inlineStr"/>
      <c r="H133" s="45" t="inlineStr"/>
      <c r="I133" s="45" t="inlineStr"/>
      <c r="J133" s="42" t="n">
        <v>10</v>
      </c>
      <c r="K133" s="46">
        <f>EDATE('はじめに'!$C$5,J133)</f>
        <v/>
      </c>
      <c r="L133" s="42" t="inlineStr">
        <is>
          <t>推奨</t>
        </is>
      </c>
      <c r="M133" s="42" t="inlineStr">
        <is>
          <t>2人</t>
        </is>
      </c>
      <c r="N133" s="42" t="inlineStr">
        <is>
          <t>30分</t>
        </is>
      </c>
      <c r="O133" s="45" t="inlineStr"/>
      <c r="P133" s="45" t="inlineStr"/>
      <c r="Q133" s="38" t="inlineStr">
        <is>
          <t>未着手</t>
        </is>
      </c>
      <c r="R133" s="28" t="inlineStr"/>
    </row>
    <row r="134" outlineLevel="1">
      <c r="A134" s="39" t="inlineStr">
        <is>
          <t>P3-07-02</t>
        </is>
      </c>
      <c r="B134" s="39" t="inlineStr">
        <is>
          <t>P3</t>
        </is>
      </c>
      <c r="C134" s="22" t="inlineStr">
        <is>
          <t>結婚式</t>
        </is>
      </c>
      <c r="D134" s="39" t="n">
        <v>3</v>
      </c>
      <c r="E134" s="40" t="inlineStr">
        <is>
          <t>各自が自分の実親の希望を確認する</t>
        </is>
      </c>
      <c r="F134" s="24" t="inlineStr">
        <is>
          <t>両家の希望が分かっている</t>
        </is>
      </c>
      <c r="G134" s="24" t="inlineStr"/>
      <c r="H134" s="24" t="inlineStr"/>
      <c r="I134" s="24" t="inlineStr"/>
      <c r="J134" s="39" t="n">
        <v>10</v>
      </c>
      <c r="K134" s="41">
        <f>EDATE('はじめに'!$C$5,J134)</f>
        <v/>
      </c>
      <c r="L134" s="39" t="inlineStr">
        <is>
          <t>推奨</t>
        </is>
      </c>
      <c r="M134" s="39" t="inlineStr">
        <is>
          <t>2人</t>
        </is>
      </c>
      <c r="N134" s="39" t="inlineStr">
        <is>
          <t>1時間</t>
        </is>
      </c>
      <c r="O134" s="24" t="inlineStr"/>
      <c r="P134" s="24" t="inlineStr"/>
      <c r="Q134" s="38" t="inlineStr">
        <is>
          <t>未着手</t>
        </is>
      </c>
      <c r="R134" s="28" t="inlineStr"/>
    </row>
    <row r="135" outlineLevel="1">
      <c r="A135" s="42" t="inlineStr">
        <is>
          <t>P3-07-03</t>
        </is>
      </c>
      <c r="B135" s="42" t="inlineStr">
        <is>
          <t>P3</t>
        </is>
      </c>
      <c r="C135" s="43" t="inlineStr">
        <is>
          <t>結婚式</t>
        </is>
      </c>
      <c r="D135" s="42" t="n">
        <v>3</v>
      </c>
      <c r="E135" s="44" t="inlineStr">
        <is>
          <t>5つの形式それぞれの概算費用を出して比較する</t>
        </is>
      </c>
      <c r="F135" s="45" t="inlineStr">
        <is>
          <t>費用比較表ができている</t>
        </is>
      </c>
      <c r="G135" s="45" t="inlineStr"/>
      <c r="H135" s="45" t="inlineStr"/>
      <c r="I135" s="45" t="inlineStr"/>
      <c r="J135" s="42" t="n">
        <v>10</v>
      </c>
      <c r="K135" s="46">
        <f>EDATE('はじめに'!$C$5,J135)</f>
        <v/>
      </c>
      <c r="L135" s="42" t="inlineStr">
        <is>
          <t>推奨</t>
        </is>
      </c>
      <c r="M135" s="42" t="inlineStr">
        <is>
          <t>2人</t>
        </is>
      </c>
      <c r="N135" s="42" t="inlineStr">
        <is>
          <t>2時間</t>
        </is>
      </c>
      <c r="O135" s="45" t="inlineStr"/>
      <c r="P135" s="45" t="inlineStr"/>
      <c r="Q135" s="38" t="inlineStr">
        <is>
          <t>未着手</t>
        </is>
      </c>
      <c r="R135" s="28" t="inlineStr"/>
    </row>
    <row r="136" outlineLevel="1">
      <c r="A136" s="39" t="inlineStr">
        <is>
          <t>P3-07-04</t>
        </is>
      </c>
      <c r="B136" s="39" t="inlineStr">
        <is>
          <t>P3</t>
        </is>
      </c>
      <c r="C136" s="22" t="inlineStr">
        <is>
          <t>結婚式</t>
        </is>
      </c>
      <c r="D136" s="39" t="n">
        <v>3</v>
      </c>
      <c r="E136" s="40" t="inlineStr">
        <is>
          <t>妊活の開始時期との前後関係を決める</t>
        </is>
      </c>
      <c r="F136" s="24" t="inlineStr">
        <is>
          <t>式と妊活の順番が決まっている</t>
        </is>
      </c>
      <c r="G136" s="24" t="inlineStr"/>
      <c r="H136" s="24" t="inlineStr"/>
      <c r="I136" s="24" t="inlineStr"/>
      <c r="J136" s="39" t="n">
        <v>10</v>
      </c>
      <c r="K136" s="41">
        <f>EDATE('はじめに'!$C$5,J136)</f>
        <v/>
      </c>
      <c r="L136" s="39" t="inlineStr">
        <is>
          <t>推奨</t>
        </is>
      </c>
      <c r="M136" s="39" t="inlineStr">
        <is>
          <t>2人</t>
        </is>
      </c>
      <c r="N136" s="39" t="inlineStr">
        <is>
          <t>1時間</t>
        </is>
      </c>
      <c r="O136" s="24" t="inlineStr"/>
      <c r="P136" s="24" t="inlineStr"/>
      <c r="Q136" s="38" t="inlineStr">
        <is>
          <t>未着手</t>
        </is>
      </c>
      <c r="R136" s="28" t="inlineStr"/>
    </row>
    <row r="137" outlineLevel="1">
      <c r="A137" s="42" t="inlineStr">
        <is>
          <t>P3-07-05</t>
        </is>
      </c>
      <c r="B137" s="42" t="inlineStr">
        <is>
          <t>P3</t>
        </is>
      </c>
      <c r="C137" s="43" t="inlineStr">
        <is>
          <t>結婚式</t>
        </is>
      </c>
      <c r="D137" s="42" t="n">
        <v>3</v>
      </c>
      <c r="E137" s="44" t="inlineStr">
        <is>
          <t>形式を確定する</t>
        </is>
      </c>
      <c r="F137" s="45" t="inlineStr">
        <is>
          <t>結論が出ている</t>
        </is>
      </c>
      <c r="G137" s="45" t="inlineStr"/>
      <c r="H137" s="45" t="inlineStr"/>
      <c r="I137" s="45" t="inlineStr"/>
      <c r="J137" s="42" t="n">
        <v>11</v>
      </c>
      <c r="K137" s="46">
        <f>EDATE('はじめに'!$C$5,J137)</f>
        <v/>
      </c>
      <c r="L137" s="42" t="inlineStr">
        <is>
          <t>推奨</t>
        </is>
      </c>
      <c r="M137" s="42" t="inlineStr">
        <is>
          <t>2人</t>
        </is>
      </c>
      <c r="N137" s="42" t="inlineStr">
        <is>
          <t>30分</t>
        </is>
      </c>
      <c r="O137" s="45" t="inlineStr"/>
      <c r="P137" s="45" t="inlineStr"/>
      <c r="Q137" s="38" t="inlineStr">
        <is>
          <t>未着手</t>
        </is>
      </c>
      <c r="R137" s="28" t="inlineStr"/>
    </row>
    <row r="138">
      <c r="A138" s="33" t="inlineStr">
        <is>
          <t>P3-08</t>
        </is>
      </c>
      <c r="B138" s="33" t="inlineStr">
        <is>
          <t>P3</t>
        </is>
      </c>
      <c r="C138" s="34" t="inlineStr">
        <is>
          <t>お金</t>
        </is>
      </c>
      <c r="D138" s="33" t="n">
        <v>2</v>
      </c>
      <c r="E138" s="35" t="inlineStr">
        <is>
          <t>結婚にかかる総予算と資金源を確定する</t>
        </is>
      </c>
      <c r="F138" s="36" t="inlineStr">
        <is>
          <t>総額・自己資金・親援助・ご祝儀見込みの内訳表がある</t>
        </is>
      </c>
      <c r="G138" s="36" t="inlineStr">
        <is>
          <t>貯蓄・親の援助・ご祝儀のどれをどれだけ当てにするか</t>
        </is>
      </c>
      <c r="H138" s="36" t="inlineStr"/>
      <c r="I138" s="36" t="inlineStr">
        <is>
          <t>ご祝儀は後払い、式費用は前払いのことが多い。一時的に150〜300万円の現金が必要になる場合がある</t>
        </is>
      </c>
      <c r="J138" s="33" t="n">
        <v>11</v>
      </c>
      <c r="K138" s="37">
        <f>EDATE('はじめに'!$C$5,J138)</f>
        <v/>
      </c>
      <c r="L138" s="33" t="inlineStr">
        <is>
          <t>推奨</t>
        </is>
      </c>
      <c r="M138" s="33" t="inlineStr">
        <is>
          <t>2人</t>
        </is>
      </c>
      <c r="N138" s="33" t="inlineStr">
        <is>
          <t>3時間</t>
        </is>
      </c>
      <c r="O138" s="36" t="inlineStr"/>
      <c r="P138" s="36" t="inlineStr">
        <is>
          <t>結婚式の有無の決定</t>
        </is>
      </c>
      <c r="Q138" s="38" t="inlineStr">
        <is>
          <t>未着手</t>
        </is>
      </c>
      <c r="R138" s="28" t="inlineStr"/>
    </row>
    <row r="139" outlineLevel="1">
      <c r="A139" s="42" t="inlineStr">
        <is>
          <t>P3-08-01</t>
        </is>
      </c>
      <c r="B139" s="42" t="inlineStr">
        <is>
          <t>P3</t>
        </is>
      </c>
      <c r="C139" s="43" t="inlineStr">
        <is>
          <t>お金</t>
        </is>
      </c>
      <c r="D139" s="42" t="n">
        <v>3</v>
      </c>
      <c r="E139" s="44" t="inlineStr">
        <is>
          <t>式・指輪・旅行・引越しの費用を項目別に積み上げる</t>
        </is>
      </c>
      <c r="F139" s="45" t="inlineStr">
        <is>
          <t>総額が出ている</t>
        </is>
      </c>
      <c r="G139" s="45" t="inlineStr"/>
      <c r="H139" s="45" t="inlineStr"/>
      <c r="I139" s="45" t="inlineStr"/>
      <c r="J139" s="42" t="n">
        <v>11</v>
      </c>
      <c r="K139" s="46">
        <f>EDATE('はじめに'!$C$5,J139)</f>
        <v/>
      </c>
      <c r="L139" s="42" t="inlineStr">
        <is>
          <t>推奨</t>
        </is>
      </c>
      <c r="M139" s="42" t="inlineStr">
        <is>
          <t>2人</t>
        </is>
      </c>
      <c r="N139" s="42" t="inlineStr">
        <is>
          <t>1時間</t>
        </is>
      </c>
      <c r="O139" s="45" t="inlineStr"/>
      <c r="P139" s="45" t="inlineStr"/>
      <c r="Q139" s="38" t="inlineStr">
        <is>
          <t>未着手</t>
        </is>
      </c>
      <c r="R139" s="28" t="inlineStr"/>
    </row>
    <row r="140" outlineLevel="1">
      <c r="A140" s="39" t="inlineStr">
        <is>
          <t>P3-08-02</t>
        </is>
      </c>
      <c r="B140" s="39" t="inlineStr">
        <is>
          <t>P3</t>
        </is>
      </c>
      <c r="C140" s="22" t="inlineStr">
        <is>
          <t>お金</t>
        </is>
      </c>
      <c r="D140" s="39" t="n">
        <v>3</v>
      </c>
      <c r="E140" s="40" t="inlineStr">
        <is>
          <t>各自が自分の実親に援助の有無と金額を確認する</t>
        </is>
      </c>
      <c r="F140" s="24" t="inlineStr">
        <is>
          <t>援助額が確定している</t>
        </is>
      </c>
      <c r="G140" s="24" t="inlineStr"/>
      <c r="H140" s="24" t="inlineStr"/>
      <c r="I140" s="24" t="inlineStr"/>
      <c r="J140" s="39" t="n">
        <v>11</v>
      </c>
      <c r="K140" s="41">
        <f>EDATE('はじめに'!$C$5,J140)</f>
        <v/>
      </c>
      <c r="L140" s="39" t="inlineStr">
        <is>
          <t>推奨</t>
        </is>
      </c>
      <c r="M140" s="39" t="inlineStr">
        <is>
          <t>2人</t>
        </is>
      </c>
      <c r="N140" s="39" t="inlineStr">
        <is>
          <t>1時間</t>
        </is>
      </c>
      <c r="O140" s="24" t="inlineStr"/>
      <c r="P140" s="24" t="inlineStr"/>
      <c r="Q140" s="38" t="inlineStr">
        <is>
          <t>未着手</t>
        </is>
      </c>
      <c r="R140" s="28" t="inlineStr"/>
    </row>
    <row r="141" outlineLevel="1">
      <c r="A141" s="42" t="inlineStr">
        <is>
          <t>P3-08-03</t>
        </is>
      </c>
      <c r="B141" s="42" t="inlineStr">
        <is>
          <t>P3</t>
        </is>
      </c>
      <c r="C141" s="43" t="inlineStr">
        <is>
          <t>お金</t>
        </is>
      </c>
      <c r="D141" s="42" t="n">
        <v>3</v>
      </c>
      <c r="E141" s="44" t="inlineStr">
        <is>
          <t>招待人数からご祝儀の見込み額を試算する</t>
        </is>
      </c>
      <c r="F141" s="45" t="inlineStr">
        <is>
          <t>見込み額が出ている</t>
        </is>
      </c>
      <c r="G141" s="45" t="inlineStr"/>
      <c r="H141" s="45" t="inlineStr"/>
      <c r="I141" s="45" t="inlineStr"/>
      <c r="J141" s="42" t="n">
        <v>11</v>
      </c>
      <c r="K141" s="46">
        <f>EDATE('はじめに'!$C$5,J141)</f>
        <v/>
      </c>
      <c r="L141" s="42" t="inlineStr">
        <is>
          <t>任意</t>
        </is>
      </c>
      <c r="M141" s="42" t="inlineStr">
        <is>
          <t>2人</t>
        </is>
      </c>
      <c r="N141" s="42" t="inlineStr">
        <is>
          <t>30分</t>
        </is>
      </c>
      <c r="O141" s="45" t="inlineStr"/>
      <c r="P141" s="45" t="inlineStr"/>
      <c r="Q141" s="38" t="inlineStr">
        <is>
          <t>未着手</t>
        </is>
      </c>
      <c r="R141" s="28" t="inlineStr"/>
    </row>
    <row r="142" outlineLevel="1">
      <c r="A142" s="39" t="inlineStr">
        <is>
          <t>P3-08-04</t>
        </is>
      </c>
      <c r="B142" s="39" t="inlineStr">
        <is>
          <t>P3</t>
        </is>
      </c>
      <c r="C142" s="22" t="inlineStr">
        <is>
          <t>お金</t>
        </is>
      </c>
      <c r="D142" s="39" t="n">
        <v>3</v>
      </c>
      <c r="E142" s="40" t="inlineStr">
        <is>
          <t>支払いのタイミング（前払い／後払い）を会場に確認し、資金繰り表を作る</t>
        </is>
      </c>
      <c r="F142" s="24" t="inlineStr">
        <is>
          <t>いつ現金がいくら必要か分かっている</t>
        </is>
      </c>
      <c r="G142" s="24" t="inlineStr"/>
      <c r="H142" s="24" t="inlineStr"/>
      <c r="I142" s="24" t="inlineStr"/>
      <c r="J142" s="39" t="n">
        <v>11</v>
      </c>
      <c r="K142" s="41">
        <f>EDATE('はじめに'!$C$5,J142)</f>
        <v/>
      </c>
      <c r="L142" s="39" t="inlineStr">
        <is>
          <t>推奨</t>
        </is>
      </c>
      <c r="M142" s="39" t="inlineStr">
        <is>
          <t>2人</t>
        </is>
      </c>
      <c r="N142" s="39" t="inlineStr">
        <is>
          <t>1時間</t>
        </is>
      </c>
      <c r="O142" s="24" t="inlineStr"/>
      <c r="P142" s="24" t="inlineStr"/>
      <c r="Q142" s="38" t="inlineStr">
        <is>
          <t>未着手</t>
        </is>
      </c>
      <c r="R142" s="28" t="inlineStr"/>
    </row>
    <row r="143">
      <c r="A143" s="33" t="inlineStr">
        <is>
          <t>P4-01</t>
        </is>
      </c>
      <c r="B143" s="33" t="inlineStr">
        <is>
          <t>P4</t>
        </is>
      </c>
      <c r="C143" s="34" t="inlineStr">
        <is>
          <t>手続き</t>
        </is>
      </c>
      <c r="D143" s="33" t="n">
        <v>2</v>
      </c>
      <c r="E143" s="35" t="inlineStr">
        <is>
          <t>婚姻届を準備する</t>
        </is>
      </c>
      <c r="F143" s="36" t="inlineStr">
        <is>
          <t>婚姻届が記入済みで、証人欄も埋まっている</t>
        </is>
      </c>
      <c r="G143" s="36" t="inlineStr"/>
      <c r="H143" s="36" t="inlineStr"/>
      <c r="I143" s="36" t="inlineStr"/>
      <c r="J143" s="33" t="n">
        <v>12</v>
      </c>
      <c r="K143" s="37">
        <f>EDATE('はじめに'!$C$5,J143)</f>
        <v/>
      </c>
      <c r="L143" s="33" t="inlineStr">
        <is>
          <t>法定</t>
        </is>
      </c>
      <c r="M143" s="33" t="inlineStr">
        <is>
          <t>2人</t>
        </is>
      </c>
      <c r="N143" s="33" t="inlineStr">
        <is>
          <t>2〜3週間</t>
        </is>
      </c>
      <c r="O143" s="36" t="inlineStr"/>
      <c r="P143" s="36" t="inlineStr">
        <is>
          <t>姓の決定</t>
        </is>
      </c>
      <c r="Q143" s="38" t="inlineStr">
        <is>
          <t>未着手</t>
        </is>
      </c>
      <c r="R143" s="28" t="inlineStr"/>
    </row>
    <row r="144" outlineLevel="1">
      <c r="A144" s="39" t="inlineStr">
        <is>
          <t>P4-01-01</t>
        </is>
      </c>
      <c r="B144" s="39" t="inlineStr">
        <is>
          <t>P4</t>
        </is>
      </c>
      <c r="C144" s="22" t="inlineStr">
        <is>
          <t>手続き</t>
        </is>
      </c>
      <c r="D144" s="39" t="n">
        <v>3</v>
      </c>
      <c r="E144" s="40" t="inlineStr">
        <is>
          <t>婚姻届の用紙を入手する（役所／ダウンロード／デザイン婚姻届）</t>
        </is>
      </c>
      <c r="F144" s="24" t="inlineStr">
        <is>
          <t>用紙が手元にある</t>
        </is>
      </c>
      <c r="G144" s="24" t="inlineStr"/>
      <c r="H144" s="24" t="inlineStr"/>
      <c r="I144" s="24" t="inlineStr"/>
      <c r="J144" s="39" t="n">
        <v>12</v>
      </c>
      <c r="K144" s="41">
        <f>EDATE('はじめに'!$C$5,J144)</f>
        <v/>
      </c>
      <c r="L144" s="39" t="inlineStr">
        <is>
          <t>法定</t>
        </is>
      </c>
      <c r="M144" s="39" t="inlineStr">
        <is>
          <t>どちらか</t>
        </is>
      </c>
      <c r="N144" s="39" t="inlineStr">
        <is>
          <t>30分</t>
        </is>
      </c>
      <c r="O144" s="24" t="inlineStr"/>
      <c r="P144" s="24" t="inlineStr"/>
      <c r="Q144" s="38" t="inlineStr">
        <is>
          <t>未着手</t>
        </is>
      </c>
      <c r="R144" s="28" t="inlineStr"/>
    </row>
    <row r="145" outlineLevel="1">
      <c r="A145" s="42" t="inlineStr">
        <is>
          <t>P4-01-02</t>
        </is>
      </c>
      <c r="B145" s="42" t="inlineStr">
        <is>
          <t>P4</t>
        </is>
      </c>
      <c r="C145" s="43" t="inlineStr">
        <is>
          <t>手続き</t>
        </is>
      </c>
      <c r="D145" s="42" t="n">
        <v>3</v>
      </c>
      <c r="E145" s="44" t="inlineStr">
        <is>
          <t>戸籍謄本を取得する（本籍地が遠い場合は1週間見る／広域交付も利用可）</t>
        </is>
      </c>
      <c r="F145" s="45" t="inlineStr">
        <is>
          <t>必要な戸籍謄本が揃っている</t>
        </is>
      </c>
      <c r="G145" s="45" t="inlineStr"/>
      <c r="H145" s="45" t="inlineStr"/>
      <c r="I145" s="45" t="inlineStr"/>
      <c r="J145" s="42" t="n">
        <v>12</v>
      </c>
      <c r="K145" s="46">
        <f>EDATE('はじめに'!$C$5,J145)</f>
        <v/>
      </c>
      <c r="L145" s="42" t="inlineStr">
        <is>
          <t>法定</t>
        </is>
      </c>
      <c r="M145" s="42" t="inlineStr">
        <is>
          <t>2人</t>
        </is>
      </c>
      <c r="N145" s="42" t="inlineStr">
        <is>
          <t>1週間</t>
        </is>
      </c>
      <c r="O145" s="45" t="inlineStr"/>
      <c r="P145" s="45" t="inlineStr"/>
      <c r="Q145" s="38" t="inlineStr">
        <is>
          <t>未着手</t>
        </is>
      </c>
      <c r="R145" s="28" t="inlineStr"/>
    </row>
    <row r="146" outlineLevel="1">
      <c r="A146" s="39" t="inlineStr">
        <is>
          <t>P4-01-03</t>
        </is>
      </c>
      <c r="B146" s="39" t="inlineStr">
        <is>
          <t>P4</t>
        </is>
      </c>
      <c r="C146" s="22" t="inlineStr">
        <is>
          <t>手続き</t>
        </is>
      </c>
      <c r="D146" s="39" t="n">
        <v>3</v>
      </c>
      <c r="E146" s="40" t="inlineStr">
        <is>
          <t>証人2名（18歳以上）に依頼して記入してもらう</t>
        </is>
      </c>
      <c r="F146" s="24" t="inlineStr">
        <is>
          <t>証人欄が埋まっている</t>
        </is>
      </c>
      <c r="G146" s="24" t="inlineStr"/>
      <c r="H146" s="24" t="inlineStr"/>
      <c r="I146" s="24" t="inlineStr"/>
      <c r="J146" s="39" t="n">
        <v>12</v>
      </c>
      <c r="K146" s="41">
        <f>EDATE('はじめに'!$C$5,J146)</f>
        <v/>
      </c>
      <c r="L146" s="39" t="inlineStr">
        <is>
          <t>法定</t>
        </is>
      </c>
      <c r="M146" s="39" t="inlineStr">
        <is>
          <t>2人</t>
        </is>
      </c>
      <c r="N146" s="39" t="inlineStr">
        <is>
          <t>1週間</t>
        </is>
      </c>
      <c r="O146" s="24" t="inlineStr"/>
      <c r="P146" s="24" t="inlineStr"/>
      <c r="Q146" s="38" t="inlineStr">
        <is>
          <t>未着手</t>
        </is>
      </c>
      <c r="R146" s="28" t="inlineStr"/>
    </row>
    <row r="147" outlineLevel="1">
      <c r="A147" s="42" t="inlineStr">
        <is>
          <t>P4-01-04</t>
        </is>
      </c>
      <c r="B147" s="42" t="inlineStr">
        <is>
          <t>P4</t>
        </is>
      </c>
      <c r="C147" s="43" t="inlineStr">
        <is>
          <t>手続き</t>
        </is>
      </c>
      <c r="D147" s="42" t="n">
        <v>3</v>
      </c>
      <c r="E147" s="44" t="inlineStr">
        <is>
          <t>新しい本籍地を決める</t>
        </is>
      </c>
      <c r="F147" s="45" t="inlineStr">
        <is>
          <t>本籍地が決まっている</t>
        </is>
      </c>
      <c r="G147" s="45" t="inlineStr"/>
      <c r="H147" s="45" t="inlineStr"/>
      <c r="I147" s="45" t="inlineStr"/>
      <c r="J147" s="42" t="n">
        <v>12</v>
      </c>
      <c r="K147" s="46">
        <f>EDATE('はじめに'!$C$5,J147)</f>
        <v/>
      </c>
      <c r="L147" s="42" t="inlineStr">
        <is>
          <t>法定</t>
        </is>
      </c>
      <c r="M147" s="42" t="inlineStr">
        <is>
          <t>2人</t>
        </is>
      </c>
      <c r="N147" s="42" t="inlineStr">
        <is>
          <t>30分</t>
        </is>
      </c>
      <c r="O147" s="45" t="inlineStr"/>
      <c r="P147" s="45" t="inlineStr"/>
      <c r="Q147" s="38" t="inlineStr">
        <is>
          <t>未着手</t>
        </is>
      </c>
      <c r="R147" s="28" t="inlineStr"/>
    </row>
    <row r="148" outlineLevel="1">
      <c r="A148" s="39" t="inlineStr">
        <is>
          <t>P4-01-05</t>
        </is>
      </c>
      <c r="B148" s="39" t="inlineStr">
        <is>
          <t>P4</t>
        </is>
      </c>
      <c r="C148" s="22" t="inlineStr">
        <is>
          <t>手続き</t>
        </is>
      </c>
      <c r="D148" s="39" t="n">
        <v>3</v>
      </c>
      <c r="E148" s="40" t="inlineStr">
        <is>
          <t>記入内容を役所で事前チェックしてもらう</t>
        </is>
      </c>
      <c r="F148" s="24" t="inlineStr">
        <is>
          <t>不備がないことを確認済み</t>
        </is>
      </c>
      <c r="G148" s="24" t="inlineStr"/>
      <c r="H148" s="24" t="inlineStr"/>
      <c r="I148" s="24" t="inlineStr"/>
      <c r="J148" s="39" t="n">
        <v>12</v>
      </c>
      <c r="K148" s="41">
        <f>EDATE('はじめに'!$C$5,J148)</f>
        <v/>
      </c>
      <c r="L148" s="39" t="inlineStr">
        <is>
          <t>任意</t>
        </is>
      </c>
      <c r="M148" s="39" t="inlineStr">
        <is>
          <t>どちらか</t>
        </is>
      </c>
      <c r="N148" s="39" t="inlineStr">
        <is>
          <t>1時間</t>
        </is>
      </c>
      <c r="O148" s="24" t="inlineStr"/>
      <c r="P148" s="24" t="inlineStr"/>
      <c r="Q148" s="38" t="inlineStr">
        <is>
          <t>未着手</t>
        </is>
      </c>
      <c r="R148" s="28" t="inlineStr"/>
    </row>
    <row r="149">
      <c r="A149" s="33" t="inlineStr">
        <is>
          <t>P4-02</t>
        </is>
      </c>
      <c r="B149" s="33" t="inlineStr">
        <is>
          <t>P4</t>
        </is>
      </c>
      <c r="C149" s="34" t="inlineStr">
        <is>
          <t>手続き</t>
        </is>
      </c>
      <c r="D149" s="33" t="n">
        <v>2</v>
      </c>
      <c r="E149" s="35" t="inlineStr">
        <is>
          <t>入籍日を決めて婚姻届を提出する</t>
        </is>
      </c>
      <c r="F149" s="36" t="inlineStr">
        <is>
          <t>婚姻届が受理されている</t>
        </is>
      </c>
      <c r="G149" s="36" t="inlineStr">
        <is>
          <t>記念日にするか、手続きの都合を優先するか</t>
        </is>
      </c>
      <c r="H149" s="36" t="inlineStr">
        <is>
          <t>2人の記念日／覚えやすい日／大安／手続きが進めやすい平日</t>
        </is>
      </c>
      <c r="I149" s="36" t="inlineStr">
        <is>
          <t>土日祝でも夜間窓口で提出できるが、受理の確認は後日。平日提出なら住民票異動も同日にできる</t>
        </is>
      </c>
      <c r="J149" s="33" t="n">
        <v>13</v>
      </c>
      <c r="K149" s="37">
        <f>EDATE('はじめに'!$C$5,J149)</f>
        <v/>
      </c>
      <c r="L149" s="33" t="inlineStr">
        <is>
          <t>法定</t>
        </is>
      </c>
      <c r="M149" s="33" t="inlineStr">
        <is>
          <t>2人</t>
        </is>
      </c>
      <c r="N149" s="33" t="inlineStr">
        <is>
          <t>1日</t>
        </is>
      </c>
      <c r="O149" s="36" t="inlineStr"/>
      <c r="P149" s="36" t="inlineStr">
        <is>
          <t>婚姻届の準備</t>
        </is>
      </c>
      <c r="Q149" s="38" t="inlineStr">
        <is>
          <t>未着手</t>
        </is>
      </c>
      <c r="R149" s="28" t="inlineStr"/>
    </row>
    <row r="150" outlineLevel="1">
      <c r="A150" s="39" t="inlineStr">
        <is>
          <t>P4-02-01</t>
        </is>
      </c>
      <c r="B150" s="39" t="inlineStr">
        <is>
          <t>P4</t>
        </is>
      </c>
      <c r="C150" s="22" t="inlineStr">
        <is>
          <t>手続き</t>
        </is>
      </c>
      <c r="D150" s="39" t="n">
        <v>3</v>
      </c>
      <c r="E150" s="40" t="inlineStr">
        <is>
          <t>提出先を決める（出生地・本籍地・所在地のいずれか）</t>
        </is>
      </c>
      <c r="F150" s="24" t="inlineStr">
        <is>
          <t>提出先が決まっている</t>
        </is>
      </c>
      <c r="G150" s="24" t="inlineStr"/>
      <c r="H150" s="24" t="inlineStr"/>
      <c r="I150" s="24" t="inlineStr"/>
      <c r="J150" s="39" t="n">
        <v>13</v>
      </c>
      <c r="K150" s="41">
        <f>EDATE('はじめに'!$C$5,J150)</f>
        <v/>
      </c>
      <c r="L150" s="39" t="inlineStr">
        <is>
          <t>法定</t>
        </is>
      </c>
      <c r="M150" s="39" t="inlineStr">
        <is>
          <t>2人</t>
        </is>
      </c>
      <c r="N150" s="39" t="inlineStr">
        <is>
          <t>15分</t>
        </is>
      </c>
      <c r="O150" s="24" t="inlineStr"/>
      <c r="P150" s="24" t="inlineStr"/>
      <c r="Q150" s="38" t="inlineStr">
        <is>
          <t>未着手</t>
        </is>
      </c>
      <c r="R150" s="28" t="inlineStr"/>
    </row>
    <row r="151" outlineLevel="1">
      <c r="A151" s="42" t="inlineStr">
        <is>
          <t>P4-02-02</t>
        </is>
      </c>
      <c r="B151" s="42" t="inlineStr">
        <is>
          <t>P4</t>
        </is>
      </c>
      <c r="C151" s="43" t="inlineStr">
        <is>
          <t>手続き</t>
        </is>
      </c>
      <c r="D151" s="42" t="n">
        <v>3</v>
      </c>
      <c r="E151" s="44" t="inlineStr">
        <is>
          <t>婚姻届を提出する</t>
        </is>
      </c>
      <c r="F151" s="45" t="inlineStr">
        <is>
          <t>受理されている</t>
        </is>
      </c>
      <c r="G151" s="45" t="inlineStr"/>
      <c r="H151" s="45" t="inlineStr"/>
      <c r="I151" s="45" t="inlineStr"/>
      <c r="J151" s="42" t="n">
        <v>13</v>
      </c>
      <c r="K151" s="46">
        <f>EDATE('はじめに'!$C$5,J151)</f>
        <v/>
      </c>
      <c r="L151" s="42" t="inlineStr">
        <is>
          <t>法定</t>
        </is>
      </c>
      <c r="M151" s="42" t="inlineStr">
        <is>
          <t>2人</t>
        </is>
      </c>
      <c r="N151" s="42" t="inlineStr">
        <is>
          <t>1時間</t>
        </is>
      </c>
      <c r="O151" s="45" t="inlineStr"/>
      <c r="P151" s="45" t="inlineStr"/>
      <c r="Q151" s="38" t="inlineStr">
        <is>
          <t>未着手</t>
        </is>
      </c>
      <c r="R151" s="28" t="inlineStr"/>
    </row>
    <row r="152" outlineLevel="1">
      <c r="A152" s="39" t="inlineStr">
        <is>
          <t>P4-02-03</t>
        </is>
      </c>
      <c r="B152" s="39" t="inlineStr">
        <is>
          <t>P4</t>
        </is>
      </c>
      <c r="C152" s="22" t="inlineStr">
        <is>
          <t>手続き</t>
        </is>
      </c>
      <c r="D152" s="39" t="n">
        <v>3</v>
      </c>
      <c r="E152" s="40" t="inlineStr">
        <is>
          <t>同時に住民票の異動・世帯合併を行う</t>
        </is>
      </c>
      <c r="F152" s="24" t="inlineStr">
        <is>
          <t>世帯構成が新しくなっている</t>
        </is>
      </c>
      <c r="G152" s="24" t="inlineStr"/>
      <c r="H152" s="24" t="inlineStr"/>
      <c r="I152" s="24" t="inlineStr"/>
      <c r="J152" s="39" t="n">
        <v>13</v>
      </c>
      <c r="K152" s="41">
        <f>EDATE('はじめに'!$C$5,J152)</f>
        <v/>
      </c>
      <c r="L152" s="39" t="inlineStr">
        <is>
          <t>法定</t>
        </is>
      </c>
      <c r="M152" s="39" t="inlineStr">
        <is>
          <t>2人</t>
        </is>
      </c>
      <c r="N152" s="39" t="inlineStr">
        <is>
          <t>30分</t>
        </is>
      </c>
      <c r="O152" s="24" t="inlineStr"/>
      <c r="P152" s="24" t="inlineStr"/>
      <c r="Q152" s="38" t="inlineStr">
        <is>
          <t>未着手</t>
        </is>
      </c>
      <c r="R152" s="28" t="inlineStr"/>
    </row>
    <row r="153" outlineLevel="1">
      <c r="A153" s="42" t="inlineStr">
        <is>
          <t>P4-02-04</t>
        </is>
      </c>
      <c r="B153" s="42" t="inlineStr">
        <is>
          <t>P4</t>
        </is>
      </c>
      <c r="C153" s="43" t="inlineStr">
        <is>
          <t>手続き</t>
        </is>
      </c>
      <c r="D153" s="42" t="n">
        <v>3</v>
      </c>
      <c r="E153" s="44" t="inlineStr">
        <is>
          <t>新しい戸籍謄本と住民票を5〜10通取得する</t>
        </is>
      </c>
      <c r="F153" s="45" t="inlineStr">
        <is>
          <t>名義変更に必要な通数が手元にある</t>
        </is>
      </c>
      <c r="G153" s="45" t="inlineStr"/>
      <c r="H153" s="45" t="inlineStr"/>
      <c r="I153" s="45" t="inlineStr"/>
      <c r="J153" s="42" t="n">
        <v>13</v>
      </c>
      <c r="K153" s="46">
        <f>EDATE('はじめに'!$C$5,J153)</f>
        <v/>
      </c>
      <c r="L153" s="42" t="inlineStr">
        <is>
          <t>法定</t>
        </is>
      </c>
      <c r="M153" s="42" t="inlineStr">
        <is>
          <t>どちらか</t>
        </is>
      </c>
      <c r="N153" s="42" t="inlineStr">
        <is>
          <t>1時間</t>
        </is>
      </c>
      <c r="O153" s="45" t="inlineStr"/>
      <c r="P153" s="45" t="inlineStr"/>
      <c r="Q153" s="38" t="inlineStr">
        <is>
          <t>未着手</t>
        </is>
      </c>
      <c r="R153" s="28" t="inlineStr"/>
    </row>
    <row r="154" outlineLevel="1">
      <c r="A154" s="39" t="inlineStr">
        <is>
          <t>P4-02-05</t>
        </is>
      </c>
      <c r="B154" s="39" t="inlineStr">
        <is>
          <t>P4</t>
        </is>
      </c>
      <c r="C154" s="22" t="inlineStr">
        <is>
          <t>手続き</t>
        </is>
      </c>
      <c r="D154" s="39" t="n">
        <v>3</v>
      </c>
      <c r="E154" s="40" t="inlineStr">
        <is>
          <t>婚姻届受理証明書を取得する（すぐ証明が必要な場合）</t>
        </is>
      </c>
      <c r="F154" s="24" t="inlineStr">
        <is>
          <t>証明書がある</t>
        </is>
      </c>
      <c r="G154" s="24" t="inlineStr"/>
      <c r="H154" s="24" t="inlineStr"/>
      <c r="I154" s="24" t="inlineStr"/>
      <c r="J154" s="39" t="n">
        <v>13</v>
      </c>
      <c r="K154" s="41">
        <f>EDATE('はじめに'!$C$5,J154)</f>
        <v/>
      </c>
      <c r="L154" s="39" t="inlineStr">
        <is>
          <t>任意</t>
        </is>
      </c>
      <c r="M154" s="39" t="inlineStr">
        <is>
          <t>どちらか</t>
        </is>
      </c>
      <c r="N154" s="39" t="inlineStr">
        <is>
          <t>30分</t>
        </is>
      </c>
      <c r="O154" s="24" t="inlineStr"/>
      <c r="P154" s="24" t="inlineStr"/>
      <c r="Q154" s="38" t="inlineStr">
        <is>
          <t>未着手</t>
        </is>
      </c>
      <c r="R154" s="28" t="inlineStr"/>
    </row>
    <row r="155">
      <c r="A155" s="33" t="inlineStr">
        <is>
          <t>P4-03</t>
        </is>
      </c>
      <c r="B155" s="33" t="inlineStr">
        <is>
          <t>P4</t>
        </is>
      </c>
      <c r="C155" s="34" t="inlineStr">
        <is>
          <t>手続き</t>
        </is>
      </c>
      <c r="D155" s="33" t="n">
        <v>2</v>
      </c>
      <c r="E155" s="35" t="inlineStr">
        <is>
          <t>勤務先への届出を完了する</t>
        </is>
      </c>
      <c r="F155" s="36" t="inlineStr">
        <is>
          <t>2人とも会社の手続きが済み、結婚祝金の申請もしている</t>
        </is>
      </c>
      <c r="G155" s="36" t="inlineStr"/>
      <c r="H155" s="36" t="inlineStr"/>
      <c r="I155" s="36" t="inlineStr"/>
      <c r="J155" s="33" t="n">
        <v>13</v>
      </c>
      <c r="K155" s="37">
        <f>EDATE('はじめに'!$C$5,J155)</f>
        <v/>
      </c>
      <c r="L155" s="33" t="inlineStr">
        <is>
          <t>法定</t>
        </is>
      </c>
      <c r="M155" s="33" t="inlineStr">
        <is>
          <t>2人</t>
        </is>
      </c>
      <c r="N155" s="33" t="inlineStr">
        <is>
          <t>1週間</t>
        </is>
      </c>
      <c r="O155" s="36" t="inlineStr"/>
      <c r="P155" s="36" t="inlineStr">
        <is>
          <t>婚姻届の提出</t>
        </is>
      </c>
      <c r="Q155" s="38" t="inlineStr">
        <is>
          <t>未着手</t>
        </is>
      </c>
      <c r="R155" s="28" t="inlineStr"/>
    </row>
    <row r="156" outlineLevel="1">
      <c r="A156" s="39" t="inlineStr">
        <is>
          <t>P4-03-01</t>
        </is>
      </c>
      <c r="B156" s="39" t="inlineStr">
        <is>
          <t>P4</t>
        </is>
      </c>
      <c r="C156" s="22" t="inlineStr">
        <is>
          <t>手続き</t>
        </is>
      </c>
      <c r="D156" s="39" t="n">
        <v>3</v>
      </c>
      <c r="E156" s="40" t="inlineStr">
        <is>
          <t>結婚の届出（氏名・住所・続柄）を出す</t>
        </is>
      </c>
      <c r="F156" s="24" t="inlineStr">
        <is>
          <t>受理されている</t>
        </is>
      </c>
      <c r="G156" s="24" t="inlineStr"/>
      <c r="H156" s="24" t="inlineStr"/>
      <c r="I156" s="24" t="inlineStr"/>
      <c r="J156" s="39" t="n">
        <v>13</v>
      </c>
      <c r="K156" s="41">
        <f>EDATE('はじめに'!$C$5,J156)</f>
        <v/>
      </c>
      <c r="L156" s="39" t="inlineStr">
        <is>
          <t>法定</t>
        </is>
      </c>
      <c r="M156" s="39" t="inlineStr">
        <is>
          <t>2人</t>
        </is>
      </c>
      <c r="N156" s="39" t="inlineStr">
        <is>
          <t>1時間</t>
        </is>
      </c>
      <c r="O156" s="24" t="inlineStr"/>
      <c r="P156" s="24" t="inlineStr"/>
      <c r="Q156" s="38" t="inlineStr">
        <is>
          <t>未着手</t>
        </is>
      </c>
      <c r="R156" s="28" t="inlineStr"/>
    </row>
    <row r="157" outlineLevel="1">
      <c r="A157" s="42" t="inlineStr">
        <is>
          <t>P4-03-02</t>
        </is>
      </c>
      <c r="B157" s="42" t="inlineStr">
        <is>
          <t>P4</t>
        </is>
      </c>
      <c r="C157" s="43" t="inlineStr">
        <is>
          <t>手続き</t>
        </is>
      </c>
      <c r="D157" s="42" t="n">
        <v>3</v>
      </c>
      <c r="E157" s="44" t="inlineStr">
        <is>
          <t>健康保険・厚生年金の変更手続きをする</t>
        </is>
      </c>
      <c r="F157" s="45" t="inlineStr">
        <is>
          <t>新しい保険証が届いている</t>
        </is>
      </c>
      <c r="G157" s="45" t="inlineStr"/>
      <c r="H157" s="45" t="inlineStr"/>
      <c r="I157" s="45" t="inlineStr"/>
      <c r="J157" s="42" t="n">
        <v>13</v>
      </c>
      <c r="K157" s="46">
        <f>EDATE('はじめに'!$C$5,J157)</f>
        <v/>
      </c>
      <c r="L157" s="42" t="inlineStr">
        <is>
          <t>法定</t>
        </is>
      </c>
      <c r="M157" s="42" t="inlineStr">
        <is>
          <t>2人</t>
        </is>
      </c>
      <c r="N157" s="42" t="inlineStr">
        <is>
          <t>2週間</t>
        </is>
      </c>
      <c r="O157" s="45" t="inlineStr"/>
      <c r="P157" s="45" t="inlineStr"/>
      <c r="Q157" s="38" t="inlineStr">
        <is>
          <t>未着手</t>
        </is>
      </c>
      <c r="R157" s="28" t="inlineStr"/>
    </row>
    <row r="158" outlineLevel="1">
      <c r="A158" s="39" t="inlineStr">
        <is>
          <t>P4-03-03</t>
        </is>
      </c>
      <c r="B158" s="39" t="inlineStr">
        <is>
          <t>P4</t>
        </is>
      </c>
      <c r="C158" s="22" t="inlineStr">
        <is>
          <t>手続き</t>
        </is>
      </c>
      <c r="D158" s="39" t="n">
        <v>3</v>
      </c>
      <c r="E158" s="40" t="inlineStr">
        <is>
          <t>扶養に入る場合は扶養手続きをする</t>
        </is>
      </c>
      <c r="F158" s="24" t="inlineStr">
        <is>
          <t>扶養認定されている</t>
        </is>
      </c>
      <c r="G158" s="24" t="inlineStr"/>
      <c r="H158" s="24" t="inlineStr"/>
      <c r="I158" s="24" t="inlineStr"/>
      <c r="J158" s="39" t="n">
        <v>13</v>
      </c>
      <c r="K158" s="41">
        <f>EDATE('はじめに'!$C$5,J158)</f>
        <v/>
      </c>
      <c r="L158" s="39" t="inlineStr">
        <is>
          <t>任意</t>
        </is>
      </c>
      <c r="M158" s="39" t="inlineStr">
        <is>
          <t>どちらか</t>
        </is>
      </c>
      <c r="N158" s="39" t="inlineStr">
        <is>
          <t>2週間</t>
        </is>
      </c>
      <c r="O158" s="24" t="inlineStr"/>
      <c r="P158" s="24" t="inlineStr"/>
      <c r="Q158" s="38" t="inlineStr">
        <is>
          <t>未着手</t>
        </is>
      </c>
      <c r="R158" s="28" t="inlineStr"/>
    </row>
    <row r="159" outlineLevel="1">
      <c r="A159" s="42" t="inlineStr">
        <is>
          <t>P4-03-04</t>
        </is>
      </c>
      <c r="B159" s="42" t="inlineStr">
        <is>
          <t>P4</t>
        </is>
      </c>
      <c r="C159" s="43" t="inlineStr">
        <is>
          <t>手続き</t>
        </is>
      </c>
      <c r="D159" s="42" t="n">
        <v>3</v>
      </c>
      <c r="E159" s="44" t="inlineStr">
        <is>
          <t>通勤手当・住宅手当の変更を申請する</t>
        </is>
      </c>
      <c r="F159" s="45" t="inlineStr">
        <is>
          <t>支給額が正しくなっている</t>
        </is>
      </c>
      <c r="G159" s="45" t="inlineStr"/>
      <c r="H159" s="45" t="inlineStr"/>
      <c r="I159" s="45" t="inlineStr"/>
      <c r="J159" s="42" t="n">
        <v>13</v>
      </c>
      <c r="K159" s="46">
        <f>EDATE('はじめに'!$C$5,J159)</f>
        <v/>
      </c>
      <c r="L159" s="42" t="inlineStr">
        <is>
          <t>推奨</t>
        </is>
      </c>
      <c r="M159" s="42" t="inlineStr">
        <is>
          <t>2人</t>
        </is>
      </c>
      <c r="N159" s="42" t="inlineStr">
        <is>
          <t>30分</t>
        </is>
      </c>
      <c r="O159" s="45" t="inlineStr"/>
      <c r="P159" s="45" t="inlineStr"/>
      <c r="Q159" s="38" t="inlineStr">
        <is>
          <t>未着手</t>
        </is>
      </c>
      <c r="R159" s="28" t="inlineStr"/>
    </row>
    <row r="160" outlineLevel="1">
      <c r="A160" s="39" t="inlineStr">
        <is>
          <t>P4-03-05</t>
        </is>
      </c>
      <c r="B160" s="39" t="inlineStr">
        <is>
          <t>P4</t>
        </is>
      </c>
      <c r="C160" s="22" t="inlineStr">
        <is>
          <t>手続き</t>
        </is>
      </c>
      <c r="D160" s="39" t="n">
        <v>3</v>
      </c>
      <c r="E160" s="40" t="inlineStr">
        <is>
          <t>結婚祝金・慶弔金を申請する（申請しないと出ない会社が多い）</t>
        </is>
      </c>
      <c r="F160" s="24" t="inlineStr">
        <is>
          <t>申請済み</t>
        </is>
      </c>
      <c r="G160" s="24" t="inlineStr"/>
      <c r="H160" s="24" t="inlineStr"/>
      <c r="I160" s="24" t="inlineStr"/>
      <c r="J160" s="39" t="n">
        <v>13</v>
      </c>
      <c r="K160" s="41">
        <f>EDATE('はじめに'!$C$5,J160)</f>
        <v/>
      </c>
      <c r="L160" s="39" t="inlineStr">
        <is>
          <t>推奨</t>
        </is>
      </c>
      <c r="M160" s="39" t="inlineStr">
        <is>
          <t>2人</t>
        </is>
      </c>
      <c r="N160" s="39" t="inlineStr">
        <is>
          <t>30分</t>
        </is>
      </c>
      <c r="O160" s="24" t="inlineStr"/>
      <c r="P160" s="24" t="inlineStr"/>
      <c r="Q160" s="38" t="inlineStr">
        <is>
          <t>未着手</t>
        </is>
      </c>
      <c r="R160" s="28" t="inlineStr"/>
    </row>
    <row r="161" outlineLevel="1">
      <c r="A161" s="42" t="inlineStr">
        <is>
          <t>P4-03-06</t>
        </is>
      </c>
      <c r="B161" s="42" t="inlineStr">
        <is>
          <t>P4</t>
        </is>
      </c>
      <c r="C161" s="43" t="inlineStr">
        <is>
          <t>手続き</t>
        </is>
      </c>
      <c r="D161" s="42" t="n">
        <v>3</v>
      </c>
      <c r="E161" s="44" t="inlineStr">
        <is>
          <t>旧姓の通称使用を申請する（する場合）</t>
        </is>
      </c>
      <c r="F161" s="45" t="inlineStr">
        <is>
          <t>運用が決まっている</t>
        </is>
      </c>
      <c r="G161" s="45" t="inlineStr"/>
      <c r="H161" s="45" t="inlineStr"/>
      <c r="I161" s="45" t="inlineStr"/>
      <c r="J161" s="42" t="n">
        <v>13</v>
      </c>
      <c r="K161" s="46">
        <f>EDATE('はじめに'!$C$5,J161)</f>
        <v/>
      </c>
      <c r="L161" s="42" t="inlineStr">
        <is>
          <t>任意</t>
        </is>
      </c>
      <c r="M161" s="42" t="inlineStr">
        <is>
          <t>改姓側</t>
        </is>
      </c>
      <c r="N161" s="42" t="inlineStr">
        <is>
          <t>1時間</t>
        </is>
      </c>
      <c r="O161" s="45" t="inlineStr"/>
      <c r="P161" s="45" t="inlineStr"/>
      <c r="Q161" s="38" t="inlineStr">
        <is>
          <t>未着手</t>
        </is>
      </c>
      <c r="R161" s="28" t="inlineStr"/>
    </row>
    <row r="162">
      <c r="A162" s="33" t="inlineStr">
        <is>
          <t>P4-04</t>
        </is>
      </c>
      <c r="B162" s="33" t="inlineStr">
        <is>
          <t>P4</t>
        </is>
      </c>
      <c r="C162" s="34" t="inlineStr">
        <is>
          <t>手続き</t>
        </is>
      </c>
      <c r="D162" s="33" t="n">
        <v>2</v>
      </c>
      <c r="E162" s="35" t="inlineStr">
        <is>
          <t>本人確認書類の名義変更を完了する</t>
        </is>
      </c>
      <c r="F162" s="36" t="inlineStr">
        <is>
          <t>免許証・マイナンバーカード・パスポートが新姓になっている</t>
        </is>
      </c>
      <c r="G162" s="36" t="inlineStr">
        <is>
          <t>どの順番でやるか</t>
        </is>
      </c>
      <c r="H162" s="36" t="inlineStr"/>
      <c r="I162" s="36" t="inlineStr">
        <is>
          <t>運転免許証を最初に変更する。以降の手続きで本人確認書類として使えるようになり、全体が速くなる</t>
        </is>
      </c>
      <c r="J162" s="33" t="n">
        <v>13</v>
      </c>
      <c r="K162" s="37">
        <f>EDATE('はじめに'!$C$5,J162)</f>
        <v/>
      </c>
      <c r="L162" s="33" t="inlineStr">
        <is>
          <t>法定</t>
        </is>
      </c>
      <c r="M162" s="33" t="inlineStr">
        <is>
          <t>改姓側</t>
        </is>
      </c>
      <c r="N162" s="33" t="inlineStr">
        <is>
          <t>1週間</t>
        </is>
      </c>
      <c r="O162" s="36" t="inlineStr"/>
      <c r="P162" s="36" t="inlineStr">
        <is>
          <t>戸籍謄本の取得</t>
        </is>
      </c>
      <c r="Q162" s="38" t="inlineStr">
        <is>
          <t>未着手</t>
        </is>
      </c>
      <c r="R162" s="28" t="inlineStr"/>
    </row>
    <row r="163" outlineLevel="1">
      <c r="A163" s="42" t="inlineStr">
        <is>
          <t>P4-04-01</t>
        </is>
      </c>
      <c r="B163" s="42" t="inlineStr">
        <is>
          <t>P4</t>
        </is>
      </c>
      <c r="C163" s="43" t="inlineStr">
        <is>
          <t>手続き</t>
        </is>
      </c>
      <c r="D163" s="42" t="n">
        <v>3</v>
      </c>
      <c r="E163" s="44" t="inlineStr">
        <is>
          <t>運転免許証の氏名変更（警察署／免許センター）</t>
        </is>
      </c>
      <c r="F163" s="45" t="inlineStr">
        <is>
          <t>免許証が新姓になっている</t>
        </is>
      </c>
      <c r="G163" s="45" t="inlineStr"/>
      <c r="H163" s="45" t="inlineStr"/>
      <c r="I163" s="45" t="inlineStr"/>
      <c r="J163" s="42" t="n">
        <v>13</v>
      </c>
      <c r="K163" s="46">
        <f>EDATE('はじめに'!$C$5,J163)</f>
        <v/>
      </c>
      <c r="L163" s="42" t="inlineStr">
        <is>
          <t>法定</t>
        </is>
      </c>
      <c r="M163" s="42" t="inlineStr">
        <is>
          <t>改姓側</t>
        </is>
      </c>
      <c r="N163" s="42" t="inlineStr">
        <is>
          <t>2時間</t>
        </is>
      </c>
      <c r="O163" s="45" t="inlineStr"/>
      <c r="P163" s="45" t="inlineStr"/>
      <c r="Q163" s="38" t="inlineStr">
        <is>
          <t>未着手</t>
        </is>
      </c>
      <c r="R163" s="28" t="inlineStr"/>
    </row>
    <row r="164" outlineLevel="1">
      <c r="A164" s="39" t="inlineStr">
        <is>
          <t>P4-04-02</t>
        </is>
      </c>
      <c r="B164" s="39" t="inlineStr">
        <is>
          <t>P4</t>
        </is>
      </c>
      <c r="C164" s="22" t="inlineStr">
        <is>
          <t>手続き</t>
        </is>
      </c>
      <c r="D164" s="39" t="n">
        <v>3</v>
      </c>
      <c r="E164" s="40" t="inlineStr">
        <is>
          <t>マイナンバーカードの記載事項変更（90日以内）</t>
        </is>
      </c>
      <c r="F164" s="24" t="inlineStr">
        <is>
          <t>カードに新姓が記載されている</t>
        </is>
      </c>
      <c r="G164" s="24" t="inlineStr"/>
      <c r="H164" s="24" t="inlineStr"/>
      <c r="I164" s="24" t="inlineStr"/>
      <c r="J164" s="39" t="n">
        <v>13</v>
      </c>
      <c r="K164" s="41">
        <f>EDATE('はじめに'!$C$5,J164)</f>
        <v/>
      </c>
      <c r="L164" s="39" t="inlineStr">
        <is>
          <t>法定</t>
        </is>
      </c>
      <c r="M164" s="39" t="inlineStr">
        <is>
          <t>改姓側</t>
        </is>
      </c>
      <c r="N164" s="39" t="inlineStr">
        <is>
          <t>1時間</t>
        </is>
      </c>
      <c r="O164" s="24" t="inlineStr"/>
      <c r="P164" s="24" t="inlineStr"/>
      <c r="Q164" s="38" t="inlineStr">
        <is>
          <t>未着手</t>
        </is>
      </c>
      <c r="R164" s="28" t="inlineStr"/>
    </row>
    <row r="165" outlineLevel="1">
      <c r="A165" s="42" t="inlineStr">
        <is>
          <t>P4-04-03</t>
        </is>
      </c>
      <c r="B165" s="42" t="inlineStr">
        <is>
          <t>P4</t>
        </is>
      </c>
      <c r="C165" s="43" t="inlineStr">
        <is>
          <t>手続き</t>
        </is>
      </c>
      <c r="D165" s="42" t="n">
        <v>3</v>
      </c>
      <c r="E165" s="44" t="inlineStr">
        <is>
          <t>パスポートの氏名変更（記載事項変更／新規発給）</t>
        </is>
      </c>
      <c r="F165" s="45" t="inlineStr">
        <is>
          <t>パスポートが新姓になっている</t>
        </is>
      </c>
      <c r="G165" s="45" t="inlineStr">
        <is>
          <t>新婚旅行の予約名義と一致しているか</t>
        </is>
      </c>
      <c r="H165" s="45" t="inlineStr">
        <is>
          <t>記載事項変更（残存期間そのまま）／新規発給（10年）</t>
        </is>
      </c>
      <c r="I165" s="45" t="inlineStr">
        <is>
          <t>最大の落とし穴。航空券の名義とパスポートが1文字でも違うと搭乗できない。旅行を予約する前に必ず確認する</t>
        </is>
      </c>
      <c r="J165" s="42" t="n">
        <v>13</v>
      </c>
      <c r="K165" s="46">
        <f>EDATE('はじめに'!$C$5,J165)</f>
        <v/>
      </c>
      <c r="L165" s="42" t="inlineStr">
        <is>
          <t>法定</t>
        </is>
      </c>
      <c r="M165" s="42" t="inlineStr">
        <is>
          <t>改姓側</t>
        </is>
      </c>
      <c r="N165" s="42" t="inlineStr">
        <is>
          <t>1〜2週間</t>
        </is>
      </c>
      <c r="O165" s="45" t="inlineStr">
        <is>
          <t>6,000〜16,000円</t>
        </is>
      </c>
      <c r="P165" s="45" t="inlineStr"/>
      <c r="Q165" s="38" t="inlineStr">
        <is>
          <t>未着手</t>
        </is>
      </c>
      <c r="R165" s="28" t="inlineStr"/>
    </row>
    <row r="166">
      <c r="A166" s="33" t="inlineStr">
        <is>
          <t>P4-05</t>
        </is>
      </c>
      <c r="B166" s="33" t="inlineStr">
        <is>
          <t>P4</t>
        </is>
      </c>
      <c r="C166" s="34" t="inlineStr">
        <is>
          <t>手続き</t>
        </is>
      </c>
      <c r="D166" s="33" t="n">
        <v>2</v>
      </c>
      <c r="E166" s="35" t="inlineStr">
        <is>
          <t>金融まわりの名義変更を完了する</t>
        </is>
      </c>
      <c r="F166" s="36" t="inlineStr">
        <is>
          <t>銀行・カード・証券が全て新姓になっている</t>
        </is>
      </c>
      <c r="G166" s="36" t="inlineStr"/>
      <c r="H166" s="36" t="inlineStr"/>
      <c r="I166" s="36" t="inlineStr"/>
      <c r="J166" s="33" t="n">
        <v>13</v>
      </c>
      <c r="K166" s="37">
        <f>EDATE('はじめに'!$C$5,J166)</f>
        <v/>
      </c>
      <c r="L166" s="33" t="inlineStr">
        <is>
          <t>推奨</t>
        </is>
      </c>
      <c r="M166" s="33" t="inlineStr">
        <is>
          <t>改姓側</t>
        </is>
      </c>
      <c r="N166" s="33" t="inlineStr">
        <is>
          <t>2〜3週間</t>
        </is>
      </c>
      <c r="O166" s="36" t="inlineStr"/>
      <c r="P166" s="36" t="inlineStr">
        <is>
          <t>運転免許証の氏名変更</t>
        </is>
      </c>
      <c r="Q166" s="38" t="inlineStr">
        <is>
          <t>未着手</t>
        </is>
      </c>
      <c r="R166" s="28" t="inlineStr"/>
    </row>
    <row r="167" outlineLevel="1">
      <c r="A167" s="42" t="inlineStr">
        <is>
          <t>P4-05-01</t>
        </is>
      </c>
      <c r="B167" s="42" t="inlineStr">
        <is>
          <t>P4</t>
        </is>
      </c>
      <c r="C167" s="43" t="inlineStr">
        <is>
          <t>手続き</t>
        </is>
      </c>
      <c r="D167" s="42" t="n">
        <v>3</v>
      </c>
      <c r="E167" s="44" t="inlineStr">
        <is>
          <t>給与振込口座と家賃引落口座を先に変更する</t>
        </is>
      </c>
      <c r="F167" s="45" t="inlineStr">
        <is>
          <t>引落が止まらない状態になっている</t>
        </is>
      </c>
      <c r="G167" s="45" t="inlineStr"/>
      <c r="H167" s="45" t="inlineStr"/>
      <c r="I167" s="45" t="inlineStr"/>
      <c r="J167" s="42" t="n">
        <v>13</v>
      </c>
      <c r="K167" s="46">
        <f>EDATE('はじめに'!$C$5,J167)</f>
        <v/>
      </c>
      <c r="L167" s="42" t="inlineStr">
        <is>
          <t>推奨</t>
        </is>
      </c>
      <c r="M167" s="42" t="inlineStr">
        <is>
          <t>改姓側</t>
        </is>
      </c>
      <c r="N167" s="42" t="inlineStr">
        <is>
          <t>2時間</t>
        </is>
      </c>
      <c r="O167" s="45" t="inlineStr"/>
      <c r="P167" s="45" t="inlineStr"/>
      <c r="Q167" s="38" t="inlineStr">
        <is>
          <t>未着手</t>
        </is>
      </c>
      <c r="R167" s="28" t="inlineStr"/>
    </row>
    <row r="168" outlineLevel="1">
      <c r="A168" s="39" t="inlineStr">
        <is>
          <t>P4-05-02</t>
        </is>
      </c>
      <c r="B168" s="39" t="inlineStr">
        <is>
          <t>P4</t>
        </is>
      </c>
      <c r="C168" s="22" t="inlineStr">
        <is>
          <t>手続き</t>
        </is>
      </c>
      <c r="D168" s="39" t="n">
        <v>3</v>
      </c>
      <c r="E168" s="40" t="inlineStr">
        <is>
          <t>その他の銀行口座を変更する</t>
        </is>
      </c>
      <c r="F168" s="24" t="inlineStr">
        <is>
          <t>全口座が新姓</t>
        </is>
      </c>
      <c r="G168" s="24" t="inlineStr"/>
      <c r="H168" s="24" t="inlineStr"/>
      <c r="I168" s="24" t="inlineStr"/>
      <c r="J168" s="39" t="n">
        <v>13</v>
      </c>
      <c r="K168" s="41">
        <f>EDATE('はじめに'!$C$5,J168)</f>
        <v/>
      </c>
      <c r="L168" s="39" t="inlineStr">
        <is>
          <t>推奨</t>
        </is>
      </c>
      <c r="M168" s="39" t="inlineStr">
        <is>
          <t>改姓側</t>
        </is>
      </c>
      <c r="N168" s="39" t="inlineStr">
        <is>
          <t>2時間</t>
        </is>
      </c>
      <c r="O168" s="24" t="inlineStr"/>
      <c r="P168" s="24" t="inlineStr"/>
      <c r="Q168" s="38" t="inlineStr">
        <is>
          <t>未着手</t>
        </is>
      </c>
      <c r="R168" s="28" t="inlineStr"/>
    </row>
    <row r="169" outlineLevel="1">
      <c r="A169" s="42" t="inlineStr">
        <is>
          <t>P4-05-03</t>
        </is>
      </c>
      <c r="B169" s="42" t="inlineStr">
        <is>
          <t>P4</t>
        </is>
      </c>
      <c r="C169" s="43" t="inlineStr">
        <is>
          <t>手続き</t>
        </is>
      </c>
      <c r="D169" s="42" t="n">
        <v>3</v>
      </c>
      <c r="E169" s="44" t="inlineStr">
        <is>
          <t>クレジットカードを変更する</t>
        </is>
      </c>
      <c r="F169" s="45" t="inlineStr">
        <is>
          <t>全カードが新姓</t>
        </is>
      </c>
      <c r="G169" s="45" t="inlineStr"/>
      <c r="H169" s="45" t="inlineStr"/>
      <c r="I169" s="45" t="inlineStr"/>
      <c r="J169" s="42" t="n">
        <v>13</v>
      </c>
      <c r="K169" s="46">
        <f>EDATE('はじめに'!$C$5,J169)</f>
        <v/>
      </c>
      <c r="L169" s="42" t="inlineStr">
        <is>
          <t>推奨</t>
        </is>
      </c>
      <c r="M169" s="42" t="inlineStr">
        <is>
          <t>改姓側</t>
        </is>
      </c>
      <c r="N169" s="42" t="inlineStr">
        <is>
          <t>1時間</t>
        </is>
      </c>
      <c r="O169" s="45" t="inlineStr"/>
      <c r="P169" s="45" t="inlineStr"/>
      <c r="Q169" s="38" t="inlineStr">
        <is>
          <t>未着手</t>
        </is>
      </c>
      <c r="R169" s="28" t="inlineStr"/>
    </row>
    <row r="170" outlineLevel="1">
      <c r="A170" s="39" t="inlineStr">
        <is>
          <t>P4-05-04</t>
        </is>
      </c>
      <c r="B170" s="39" t="inlineStr">
        <is>
          <t>P4</t>
        </is>
      </c>
      <c r="C170" s="22" t="inlineStr">
        <is>
          <t>手続き</t>
        </is>
      </c>
      <c r="D170" s="39" t="n">
        <v>3</v>
      </c>
      <c r="E170" s="40" t="inlineStr">
        <is>
          <t>証券口座・NISA口座を変更する（手続きが重い）</t>
        </is>
      </c>
      <c r="F170" s="24" t="inlineStr">
        <is>
          <t>変更完了</t>
        </is>
      </c>
      <c r="G170" s="24" t="inlineStr"/>
      <c r="H170" s="24" t="inlineStr"/>
      <c r="I170" s="24" t="inlineStr"/>
      <c r="J170" s="39" t="n">
        <v>13</v>
      </c>
      <c r="K170" s="41">
        <f>EDATE('はじめに'!$C$5,J170)</f>
        <v/>
      </c>
      <c r="L170" s="39" t="inlineStr">
        <is>
          <t>推奨</t>
        </is>
      </c>
      <c r="M170" s="39" t="inlineStr">
        <is>
          <t>改姓側</t>
        </is>
      </c>
      <c r="N170" s="39" t="inlineStr">
        <is>
          <t>2週間</t>
        </is>
      </c>
      <c r="O170" s="24" t="inlineStr"/>
      <c r="P170" s="24" t="inlineStr"/>
      <c r="Q170" s="38" t="inlineStr">
        <is>
          <t>未着手</t>
        </is>
      </c>
      <c r="R170" s="28" t="inlineStr"/>
    </row>
    <row r="171" outlineLevel="1">
      <c r="A171" s="42" t="inlineStr">
        <is>
          <t>P4-05-05</t>
        </is>
      </c>
      <c r="B171" s="42" t="inlineStr">
        <is>
          <t>P4</t>
        </is>
      </c>
      <c r="C171" s="43" t="inlineStr">
        <is>
          <t>手続き</t>
        </is>
      </c>
      <c r="D171" s="42" t="n">
        <v>3</v>
      </c>
      <c r="E171" s="44" t="inlineStr">
        <is>
          <t>生命保険の契約者名と受取人を配偶者に変更する</t>
        </is>
      </c>
      <c r="F171" s="45" t="inlineStr">
        <is>
          <t>受取人が配偶者になっている</t>
        </is>
      </c>
      <c r="G171" s="45" t="inlineStr">
        <is>
          <t>受取人を誰にするか</t>
        </is>
      </c>
      <c r="H171" s="45" t="inlineStr">
        <is>
          <t>配偶者／親／子（出産後）</t>
        </is>
      </c>
      <c r="I171" s="45" t="inlineStr">
        <is>
          <t>忘れられやすい。独身時代のまま親が受取人になっているケースが非常に多い</t>
        </is>
      </c>
      <c r="J171" s="42" t="n">
        <v>13</v>
      </c>
      <c r="K171" s="46">
        <f>EDATE('はじめに'!$C$5,J171)</f>
        <v/>
      </c>
      <c r="L171" s="42" t="inlineStr">
        <is>
          <t>推奨</t>
        </is>
      </c>
      <c r="M171" s="42" t="inlineStr">
        <is>
          <t>2人</t>
        </is>
      </c>
      <c r="N171" s="42" t="inlineStr">
        <is>
          <t>1時間</t>
        </is>
      </c>
      <c r="O171" s="45" t="inlineStr"/>
      <c r="P171" s="45" t="inlineStr"/>
      <c r="Q171" s="38" t="inlineStr">
        <is>
          <t>未着手</t>
        </is>
      </c>
      <c r="R171" s="28" t="inlineStr"/>
    </row>
    <row r="172">
      <c r="A172" s="33" t="inlineStr">
        <is>
          <t>P4-06</t>
        </is>
      </c>
      <c r="B172" s="33" t="inlineStr">
        <is>
          <t>P4</t>
        </is>
      </c>
      <c r="C172" s="34" t="inlineStr">
        <is>
          <t>手続き</t>
        </is>
      </c>
      <c r="D172" s="33" t="n">
        <v>2</v>
      </c>
      <c r="E172" s="35" t="inlineStr">
        <is>
          <t>生活まわりの名義変更を完了する</t>
        </is>
      </c>
      <c r="F172" s="36" t="inlineStr">
        <is>
          <t>変更リストが全部消し込まれている</t>
        </is>
      </c>
      <c r="G172" s="36" t="inlineStr"/>
      <c r="H172" s="36" t="inlineStr"/>
      <c r="I172" s="36" t="inlineStr"/>
      <c r="J172" s="33" t="n">
        <v>13</v>
      </c>
      <c r="K172" s="37">
        <f>EDATE('はじめに'!$C$5,J172)</f>
        <v/>
      </c>
      <c r="L172" s="33" t="inlineStr">
        <is>
          <t>任意</t>
        </is>
      </c>
      <c r="M172" s="33" t="inlineStr">
        <is>
          <t>2人</t>
        </is>
      </c>
      <c r="N172" s="33" t="inlineStr">
        <is>
          <t>2週間</t>
        </is>
      </c>
      <c r="O172" s="36" t="inlineStr"/>
      <c r="P172" s="36" t="inlineStr">
        <is>
          <t>運転免許証の氏名変更</t>
        </is>
      </c>
      <c r="Q172" s="38" t="inlineStr">
        <is>
          <t>未着手</t>
        </is>
      </c>
      <c r="R172" s="28" t="inlineStr"/>
    </row>
    <row r="173" outlineLevel="1">
      <c r="A173" s="42" t="inlineStr">
        <is>
          <t>P4-06-01</t>
        </is>
      </c>
      <c r="B173" s="42" t="inlineStr">
        <is>
          <t>P4</t>
        </is>
      </c>
      <c r="C173" s="43" t="inlineStr">
        <is>
          <t>手続き</t>
        </is>
      </c>
      <c r="D173" s="42" t="n">
        <v>3</v>
      </c>
      <c r="E173" s="44" t="inlineStr">
        <is>
          <t>携帯電話・インターネット回線の名義変更</t>
        </is>
      </c>
      <c r="F173" s="45" t="inlineStr">
        <is>
          <t>変更済み</t>
        </is>
      </c>
      <c r="G173" s="45" t="inlineStr"/>
      <c r="H173" s="45" t="inlineStr"/>
      <c r="I173" s="45" t="inlineStr"/>
      <c r="J173" s="42" t="n">
        <v>13</v>
      </c>
      <c r="K173" s="46">
        <f>EDATE('はじめに'!$C$5,J173)</f>
        <v/>
      </c>
      <c r="L173" s="42" t="inlineStr">
        <is>
          <t>任意</t>
        </is>
      </c>
      <c r="M173" s="42" t="inlineStr">
        <is>
          <t>改姓側</t>
        </is>
      </c>
      <c r="N173" s="42" t="inlineStr">
        <is>
          <t>1時間</t>
        </is>
      </c>
      <c r="O173" s="45" t="inlineStr"/>
      <c r="P173" s="45" t="inlineStr"/>
      <c r="Q173" s="38" t="inlineStr">
        <is>
          <t>未着手</t>
        </is>
      </c>
      <c r="R173" s="28" t="inlineStr"/>
    </row>
    <row r="174" outlineLevel="1">
      <c r="A174" s="39" t="inlineStr">
        <is>
          <t>P4-06-02</t>
        </is>
      </c>
      <c r="B174" s="39" t="inlineStr">
        <is>
          <t>P4</t>
        </is>
      </c>
      <c r="C174" s="22" t="inlineStr">
        <is>
          <t>手続き</t>
        </is>
      </c>
      <c r="D174" s="39" t="n">
        <v>3</v>
      </c>
      <c r="E174" s="40" t="inlineStr">
        <is>
          <t>電気・ガス・水道の名義変更</t>
        </is>
      </c>
      <c r="F174" s="24" t="inlineStr">
        <is>
          <t>変更済み</t>
        </is>
      </c>
      <c r="G174" s="24" t="inlineStr"/>
      <c r="H174" s="24" t="inlineStr"/>
      <c r="I174" s="24" t="inlineStr"/>
      <c r="J174" s="39" t="n">
        <v>13</v>
      </c>
      <c r="K174" s="41">
        <f>EDATE('はじめに'!$C$5,J174)</f>
        <v/>
      </c>
      <c r="L174" s="39" t="inlineStr">
        <is>
          <t>任意</t>
        </is>
      </c>
      <c r="M174" s="39" t="inlineStr">
        <is>
          <t>改姓側</t>
        </is>
      </c>
      <c r="N174" s="39" t="inlineStr">
        <is>
          <t>1時間</t>
        </is>
      </c>
      <c r="O174" s="24" t="inlineStr"/>
      <c r="P174" s="24" t="inlineStr"/>
      <c r="Q174" s="38" t="inlineStr">
        <is>
          <t>未着手</t>
        </is>
      </c>
      <c r="R174" s="28" t="inlineStr"/>
    </row>
    <row r="175" outlineLevel="1">
      <c r="A175" s="42" t="inlineStr">
        <is>
          <t>P4-06-03</t>
        </is>
      </c>
      <c r="B175" s="42" t="inlineStr">
        <is>
          <t>P4</t>
        </is>
      </c>
      <c r="C175" s="43" t="inlineStr">
        <is>
          <t>手続き</t>
        </is>
      </c>
      <c r="D175" s="42" t="n">
        <v>3</v>
      </c>
      <c r="E175" s="44" t="inlineStr">
        <is>
          <t>通販・サブスク・ポイントサービスの登録名変更</t>
        </is>
      </c>
      <c r="F175" s="45" t="inlineStr">
        <is>
          <t>変更済み</t>
        </is>
      </c>
      <c r="G175" s="45" t="inlineStr"/>
      <c r="H175" s="45" t="inlineStr"/>
      <c r="I175" s="45" t="inlineStr"/>
      <c r="J175" s="42" t="n">
        <v>13</v>
      </c>
      <c r="K175" s="46">
        <f>EDATE('はじめに'!$C$5,J175)</f>
        <v/>
      </c>
      <c r="L175" s="42" t="inlineStr">
        <is>
          <t>任意</t>
        </is>
      </c>
      <c r="M175" s="42" t="inlineStr">
        <is>
          <t>改姓側</t>
        </is>
      </c>
      <c r="N175" s="42" t="inlineStr">
        <is>
          <t>2時間</t>
        </is>
      </c>
      <c r="O175" s="45" t="inlineStr"/>
      <c r="P175" s="45" t="inlineStr"/>
      <c r="Q175" s="38" t="inlineStr">
        <is>
          <t>未着手</t>
        </is>
      </c>
      <c r="R175" s="28" t="inlineStr"/>
    </row>
    <row r="176" outlineLevel="1">
      <c r="A176" s="39" t="inlineStr">
        <is>
          <t>P4-06-04</t>
        </is>
      </c>
      <c r="B176" s="39" t="inlineStr">
        <is>
          <t>P4</t>
        </is>
      </c>
      <c r="C176" s="22" t="inlineStr">
        <is>
          <t>手続き</t>
        </is>
      </c>
      <c r="D176" s="39" t="n">
        <v>3</v>
      </c>
      <c r="E176" s="40" t="inlineStr">
        <is>
          <t>印鑑（新姓の実印）の作成と印鑑登録</t>
        </is>
      </c>
      <c r="F176" s="24" t="inlineStr">
        <is>
          <t>実印が登録されている</t>
        </is>
      </c>
      <c r="G176" s="24" t="inlineStr">
        <is>
          <t>実印を作るか</t>
        </is>
      </c>
      <c r="H176" s="24" t="inlineStr">
        <is>
          <t>実印＋銀行印／認印のみ</t>
        </is>
      </c>
      <c r="I176" s="24" t="inlineStr">
        <is>
          <t>住宅購入や車購入の予定があれば必要</t>
        </is>
      </c>
      <c r="J176" s="39" t="n">
        <v>13</v>
      </c>
      <c r="K176" s="41">
        <f>EDATE('はじめに'!$C$5,J176)</f>
        <v/>
      </c>
      <c r="L176" s="39" t="inlineStr">
        <is>
          <t>任意</t>
        </is>
      </c>
      <c r="M176" s="39" t="inlineStr">
        <is>
          <t>改姓側</t>
        </is>
      </c>
      <c r="N176" s="39" t="inlineStr">
        <is>
          <t>2時間</t>
        </is>
      </c>
      <c r="O176" s="24" t="inlineStr">
        <is>
          <t>5,000〜2万円</t>
        </is>
      </c>
      <c r="P176" s="24" t="inlineStr"/>
      <c r="Q176" s="38" t="inlineStr">
        <is>
          <t>未着手</t>
        </is>
      </c>
      <c r="R176" s="28" t="inlineStr"/>
    </row>
    <row r="177" outlineLevel="1">
      <c r="A177" s="42" t="inlineStr">
        <is>
          <t>P4-06-05</t>
        </is>
      </c>
      <c r="B177" s="42" t="inlineStr">
        <is>
          <t>P4</t>
        </is>
      </c>
      <c r="C177" s="43" t="inlineStr">
        <is>
          <t>手続き</t>
        </is>
      </c>
      <c r="D177" s="42" t="n">
        <v>3</v>
      </c>
      <c r="E177" s="44" t="inlineStr">
        <is>
          <t>名義変更リストの残りをゼロにする</t>
        </is>
      </c>
      <c r="F177" s="45" t="inlineStr">
        <is>
          <t>リストが全部チェック済み</t>
        </is>
      </c>
      <c r="G177" s="45" t="inlineStr"/>
      <c r="H177" s="45" t="inlineStr"/>
      <c r="I177" s="45" t="inlineStr"/>
      <c r="J177" s="42" t="n">
        <v>14</v>
      </c>
      <c r="K177" s="46">
        <f>EDATE('はじめに'!$C$5,J177)</f>
        <v/>
      </c>
      <c r="L177" s="42" t="inlineStr">
        <is>
          <t>任意</t>
        </is>
      </c>
      <c r="M177" s="42" t="inlineStr">
        <is>
          <t>2人</t>
        </is>
      </c>
      <c r="N177" s="42" t="inlineStr">
        <is>
          <t>2時間</t>
        </is>
      </c>
      <c r="O177" s="45" t="inlineStr"/>
      <c r="P177" s="45" t="inlineStr"/>
      <c r="Q177" s="38" t="inlineStr">
        <is>
          <t>未着手</t>
        </is>
      </c>
      <c r="R177" s="28" t="inlineStr"/>
    </row>
    <row r="178">
      <c r="A178" s="33" t="inlineStr">
        <is>
          <t>P5-01</t>
        </is>
      </c>
      <c r="B178" s="33" t="inlineStr">
        <is>
          <t>P5</t>
        </is>
      </c>
      <c r="C178" s="34" t="inlineStr">
        <is>
          <t>結婚式</t>
        </is>
      </c>
      <c r="D178" s="33" t="n">
        <v>2</v>
      </c>
      <c r="E178" s="35" t="inlineStr">
        <is>
          <t>式のスタイルと規模を確定する</t>
        </is>
      </c>
      <c r="F178" s="36" t="inlineStr">
        <is>
          <t>招待人数の上限と挙式スタイルが決まっている</t>
        </is>
      </c>
      <c r="G178" s="36" t="inlineStr">
        <is>
          <t>招待人数と挙式形式</t>
        </is>
      </c>
      <c r="H178" s="36" t="inlineStr">
        <is>
          <t>教会式／人前式／神前式／会費制／リゾート婚</t>
        </is>
      </c>
      <c r="I178" s="36" t="inlineStr">
        <is>
          <t>人数が費用のほぼ全て（1人あたり2〜3万円）。先に人数の上限を決めると、以降の判断がぶれない</t>
        </is>
      </c>
      <c r="J178" s="33" t="n">
        <v>12</v>
      </c>
      <c r="K178" s="37">
        <f>EDATE('はじめに'!$C$5,J178)</f>
        <v/>
      </c>
      <c r="L178" s="33" t="inlineStr">
        <is>
          <t>推奨</t>
        </is>
      </c>
      <c r="M178" s="33" t="inlineStr">
        <is>
          <t>2人</t>
        </is>
      </c>
      <c r="N178" s="33" t="inlineStr">
        <is>
          <t>1週間</t>
        </is>
      </c>
      <c r="O178" s="36" t="inlineStr"/>
      <c r="P178" s="36" t="inlineStr">
        <is>
          <t>結婚にかかる総予算の確定</t>
        </is>
      </c>
      <c r="Q178" s="38" t="inlineStr">
        <is>
          <t>未着手</t>
        </is>
      </c>
      <c r="R178" s="28" t="inlineStr"/>
    </row>
    <row r="179" outlineLevel="1">
      <c r="A179" s="42" t="inlineStr">
        <is>
          <t>P5-01-01</t>
        </is>
      </c>
      <c r="B179" s="42" t="inlineStr">
        <is>
          <t>P5</t>
        </is>
      </c>
      <c r="C179" s="43" t="inlineStr">
        <is>
          <t>結婚式</t>
        </is>
      </c>
      <c r="D179" s="42" t="n">
        <v>3</v>
      </c>
      <c r="E179" s="44" t="inlineStr">
        <is>
          <t>招待したい人を各自でざっくり数える</t>
        </is>
      </c>
      <c r="F179" s="45" t="inlineStr">
        <is>
          <t>概算人数が出ている</t>
        </is>
      </c>
      <c r="G179" s="45" t="inlineStr"/>
      <c r="H179" s="45" t="inlineStr"/>
      <c r="I179" s="45" t="inlineStr"/>
      <c r="J179" s="42" t="n">
        <v>12</v>
      </c>
      <c r="K179" s="46">
        <f>EDATE('はじめに'!$C$5,J179)</f>
        <v/>
      </c>
      <c r="L179" s="42" t="inlineStr">
        <is>
          <t>推奨</t>
        </is>
      </c>
      <c r="M179" s="42" t="inlineStr">
        <is>
          <t>2人</t>
        </is>
      </c>
      <c r="N179" s="42" t="inlineStr">
        <is>
          <t>30分</t>
        </is>
      </c>
      <c r="O179" s="45" t="inlineStr"/>
      <c r="P179" s="45" t="inlineStr"/>
      <c r="Q179" s="38" t="inlineStr">
        <is>
          <t>未着手</t>
        </is>
      </c>
      <c r="R179" s="28" t="inlineStr"/>
    </row>
    <row r="180" outlineLevel="1">
      <c r="A180" s="39" t="inlineStr">
        <is>
          <t>P5-01-02</t>
        </is>
      </c>
      <c r="B180" s="39" t="inlineStr">
        <is>
          <t>P5</t>
        </is>
      </c>
      <c r="C180" s="22" t="inlineStr">
        <is>
          <t>結婚式</t>
        </is>
      </c>
      <c r="D180" s="39" t="n">
        <v>3</v>
      </c>
      <c r="E180" s="40" t="inlineStr">
        <is>
          <t>挙式スタイルを決める</t>
        </is>
      </c>
      <c r="F180" s="24" t="inlineStr">
        <is>
          <t>スタイルが決まっている</t>
        </is>
      </c>
      <c r="G180" s="24" t="inlineStr"/>
      <c r="H180" s="24" t="inlineStr"/>
      <c r="I180" s="24" t="inlineStr"/>
      <c r="J180" s="39" t="n">
        <v>12</v>
      </c>
      <c r="K180" s="41">
        <f>EDATE('はじめに'!$C$5,J180)</f>
        <v/>
      </c>
      <c r="L180" s="39" t="inlineStr">
        <is>
          <t>推奨</t>
        </is>
      </c>
      <c r="M180" s="39" t="inlineStr">
        <is>
          <t>2人</t>
        </is>
      </c>
      <c r="N180" s="39" t="inlineStr">
        <is>
          <t>30分</t>
        </is>
      </c>
      <c r="O180" s="24" t="inlineStr"/>
      <c r="P180" s="24" t="inlineStr"/>
      <c r="Q180" s="38" t="inlineStr">
        <is>
          <t>未着手</t>
        </is>
      </c>
      <c r="R180" s="28" t="inlineStr"/>
    </row>
    <row r="181">
      <c r="A181" s="33" t="inlineStr">
        <is>
          <t>P5-02</t>
        </is>
      </c>
      <c r="B181" s="33" t="inlineStr">
        <is>
          <t>P5</t>
        </is>
      </c>
      <c r="C181" s="34" t="inlineStr">
        <is>
          <t>結婚式</t>
        </is>
      </c>
      <c r="D181" s="33" t="n">
        <v>2</v>
      </c>
      <c r="E181" s="35" t="inlineStr">
        <is>
          <t>日取りを決める</t>
        </is>
      </c>
      <c r="F181" s="36" t="inlineStr">
        <is>
          <t>希望日が第3候補まで決まっている</t>
        </is>
      </c>
      <c r="G181" s="36" t="inlineStr">
        <is>
          <t>妊活の開始時期とどう並べるか、季節をどうするか</t>
        </is>
      </c>
      <c r="H181" s="36" t="inlineStr">
        <is>
          <t>式→妊活／妊活と並行／妊娠中に式（マタニティウェディング）</t>
        </is>
      </c>
      <c r="I181" s="36" t="inlineStr">
        <is>
          <t>式を待つと妊活の開始が半年〜1年遅れる。年齢によってはこの遅れが決定的になるので、優先順位を明示的に決める。真夏・真冬・連休は費用と負担が上がる</t>
        </is>
      </c>
      <c r="J181" s="33" t="n">
        <v>12</v>
      </c>
      <c r="K181" s="37">
        <f>EDATE('はじめに'!$C$5,J181)</f>
        <v/>
      </c>
      <c r="L181" s="33" t="inlineStr">
        <is>
          <t>推奨</t>
        </is>
      </c>
      <c r="M181" s="33" t="inlineStr">
        <is>
          <t>2人</t>
        </is>
      </c>
      <c r="N181" s="33" t="inlineStr">
        <is>
          <t>1週間</t>
        </is>
      </c>
      <c r="O181" s="36" t="inlineStr"/>
      <c r="P181" s="36" t="inlineStr">
        <is>
          <t>式のスタイルと規模の確定</t>
        </is>
      </c>
      <c r="Q181" s="38" t="inlineStr">
        <is>
          <t>未着手</t>
        </is>
      </c>
      <c r="R181" s="28" t="inlineStr"/>
    </row>
    <row r="182" outlineLevel="1">
      <c r="A182" s="39" t="inlineStr">
        <is>
          <t>P5-02-01</t>
        </is>
      </c>
      <c r="B182" s="39" t="inlineStr">
        <is>
          <t>P5</t>
        </is>
      </c>
      <c r="C182" s="22" t="inlineStr">
        <is>
          <t>結婚式</t>
        </is>
      </c>
      <c r="D182" s="39" t="n">
        <v>3</v>
      </c>
      <c r="E182" s="40" t="inlineStr">
        <is>
          <t>季節・曜日・時間帯の希望を出す（オフシーズンは大幅に安い）</t>
        </is>
      </c>
      <c r="F182" s="24" t="inlineStr">
        <is>
          <t>希望条件が出ている</t>
        </is>
      </c>
      <c r="G182" s="24" t="inlineStr"/>
      <c r="H182" s="24" t="inlineStr"/>
      <c r="I182" s="24" t="inlineStr"/>
      <c r="J182" s="39" t="n">
        <v>12</v>
      </c>
      <c r="K182" s="41">
        <f>EDATE('はじめに'!$C$5,J182)</f>
        <v/>
      </c>
      <c r="L182" s="39" t="inlineStr">
        <is>
          <t>推奨</t>
        </is>
      </c>
      <c r="M182" s="39" t="inlineStr">
        <is>
          <t>2人</t>
        </is>
      </c>
      <c r="N182" s="39" t="inlineStr">
        <is>
          <t>30分</t>
        </is>
      </c>
      <c r="O182" s="24" t="inlineStr"/>
      <c r="P182" s="24" t="inlineStr"/>
      <c r="Q182" s="38" t="inlineStr">
        <is>
          <t>未着手</t>
        </is>
      </c>
      <c r="R182" s="28" t="inlineStr"/>
    </row>
    <row r="183" outlineLevel="1">
      <c r="A183" s="42" t="inlineStr">
        <is>
          <t>P5-02-02</t>
        </is>
      </c>
      <c r="B183" s="42" t="inlineStr">
        <is>
          <t>P5</t>
        </is>
      </c>
      <c r="C183" s="43" t="inlineStr">
        <is>
          <t>結婚式</t>
        </is>
      </c>
      <c r="D183" s="42" t="n">
        <v>3</v>
      </c>
      <c r="E183" s="44" t="inlineStr">
        <is>
          <t>妊活の開始時期と衝突しないか確認する</t>
        </is>
      </c>
      <c r="F183" s="45" t="inlineStr">
        <is>
          <t>式と妊活の順番が確定している</t>
        </is>
      </c>
      <c r="G183" s="45" t="inlineStr"/>
      <c r="H183" s="45" t="inlineStr"/>
      <c r="I183" s="45" t="inlineStr"/>
      <c r="J183" s="42" t="n">
        <v>12</v>
      </c>
      <c r="K183" s="46">
        <f>EDATE('はじめに'!$C$5,J183)</f>
        <v/>
      </c>
      <c r="L183" s="42" t="inlineStr">
        <is>
          <t>推奨</t>
        </is>
      </c>
      <c r="M183" s="42" t="inlineStr">
        <is>
          <t>2人</t>
        </is>
      </c>
      <c r="N183" s="42" t="inlineStr">
        <is>
          <t>30分</t>
        </is>
      </c>
      <c r="O183" s="45" t="inlineStr"/>
      <c r="P183" s="45" t="inlineStr"/>
      <c r="Q183" s="38" t="inlineStr">
        <is>
          <t>未着手</t>
        </is>
      </c>
      <c r="R183" s="28" t="inlineStr"/>
    </row>
    <row r="184" outlineLevel="1">
      <c r="A184" s="39" t="inlineStr">
        <is>
          <t>P5-02-03</t>
        </is>
      </c>
      <c r="B184" s="39" t="inlineStr">
        <is>
          <t>P5</t>
        </is>
      </c>
      <c r="C184" s="22" t="inlineStr">
        <is>
          <t>結婚式</t>
        </is>
      </c>
      <c r="D184" s="39" t="n">
        <v>3</v>
      </c>
      <c r="E184" s="40" t="inlineStr">
        <is>
          <t>候補日を3つ決める</t>
        </is>
      </c>
      <c r="F184" s="24" t="inlineStr">
        <is>
          <t>第3候補まで出ている</t>
        </is>
      </c>
      <c r="G184" s="24" t="inlineStr"/>
      <c r="H184" s="24" t="inlineStr"/>
      <c r="I184" s="24" t="inlineStr"/>
      <c r="J184" s="39" t="n">
        <v>12</v>
      </c>
      <c r="K184" s="41">
        <f>EDATE('はじめに'!$C$5,J184)</f>
        <v/>
      </c>
      <c r="L184" s="39" t="inlineStr">
        <is>
          <t>推奨</t>
        </is>
      </c>
      <c r="M184" s="39" t="inlineStr">
        <is>
          <t>2人</t>
        </is>
      </c>
      <c r="N184" s="39" t="inlineStr">
        <is>
          <t>30分</t>
        </is>
      </c>
      <c r="O184" s="24" t="inlineStr"/>
      <c r="P184" s="24" t="inlineStr"/>
      <c r="Q184" s="38" t="inlineStr">
        <is>
          <t>未着手</t>
        </is>
      </c>
      <c r="R184" s="28" t="inlineStr"/>
    </row>
    <row r="185">
      <c r="A185" s="33" t="inlineStr">
        <is>
          <t>P5-03</t>
        </is>
      </c>
      <c r="B185" s="33" t="inlineStr">
        <is>
          <t>P5</t>
        </is>
      </c>
      <c r="C185" s="34" t="inlineStr">
        <is>
          <t>結婚式</t>
        </is>
      </c>
      <c r="D185" s="33" t="n">
        <v>2</v>
      </c>
      <c r="E185" s="35" t="inlineStr">
        <is>
          <t>会場探しのチャネルを決めて会場を探す</t>
        </is>
      </c>
      <c r="F185" s="36" t="inlineStr">
        <is>
          <t>見学予約が3〜5件入っている</t>
        </is>
      </c>
      <c r="G185" s="36" t="inlineStr">
        <is>
          <t>どこ経由で申し込むか</t>
        </is>
      </c>
      <c r="H185" s="36" t="inlineStr">
        <is>
          <t>ゼクシィ／ハナユメ／マイナビウエディング／トキハナ／みんなのウェディング／式場探しカウンター（対面相談）</t>
        </is>
      </c>
      <c r="I185" s="36" t="inlineStr">
        <is>
          <t>同じ会場でもチャネルによって特典・割引が違う。来館特典（商品券）目当ての比較も可。持ち込み料の扱いを必ず確認する</t>
        </is>
      </c>
      <c r="J185" s="33" t="n">
        <v>12</v>
      </c>
      <c r="K185" s="37">
        <f>EDATE('はじめに'!$C$5,J185)</f>
        <v/>
      </c>
      <c r="L185" s="33" t="inlineStr">
        <is>
          <t>推奨</t>
        </is>
      </c>
      <c r="M185" s="33" t="inlineStr">
        <is>
          <t>2人</t>
        </is>
      </c>
      <c r="N185" s="33" t="inlineStr">
        <is>
          <t>2週間</t>
        </is>
      </c>
      <c r="O185" s="36" t="inlineStr"/>
      <c r="P185" s="36" t="inlineStr">
        <is>
          <t>日取りの決定</t>
        </is>
      </c>
      <c r="Q185" s="38" t="inlineStr">
        <is>
          <t>未着手</t>
        </is>
      </c>
      <c r="R185" s="28" t="inlineStr"/>
    </row>
    <row r="186" outlineLevel="1">
      <c r="A186" s="39" t="inlineStr">
        <is>
          <t>P5-03-01</t>
        </is>
      </c>
      <c r="B186" s="39" t="inlineStr">
        <is>
          <t>P5</t>
        </is>
      </c>
      <c r="C186" s="22" t="inlineStr">
        <is>
          <t>結婚式</t>
        </is>
      </c>
      <c r="D186" s="39" t="n">
        <v>3</v>
      </c>
      <c r="E186" s="40" t="inlineStr">
        <is>
          <t>各サイトの特典・割引・キャンペーンを比較する</t>
        </is>
      </c>
      <c r="F186" s="24" t="inlineStr">
        <is>
          <t>どこ経由が得か分かっている</t>
        </is>
      </c>
      <c r="G186" s="24" t="inlineStr"/>
      <c r="H186" s="24" t="inlineStr"/>
      <c r="I186" s="24" t="inlineStr"/>
      <c r="J186" s="39" t="n">
        <v>12</v>
      </c>
      <c r="K186" s="41">
        <f>EDATE('はじめに'!$C$5,J186)</f>
        <v/>
      </c>
      <c r="L186" s="39" t="inlineStr">
        <is>
          <t>推奨</t>
        </is>
      </c>
      <c r="M186" s="39" t="inlineStr">
        <is>
          <t>どちらか</t>
        </is>
      </c>
      <c r="N186" s="39" t="inlineStr">
        <is>
          <t>2時間</t>
        </is>
      </c>
      <c r="O186" s="24" t="inlineStr"/>
      <c r="P186" s="24" t="inlineStr"/>
      <c r="Q186" s="38" t="inlineStr">
        <is>
          <t>未着手</t>
        </is>
      </c>
      <c r="R186" s="28" t="inlineStr"/>
    </row>
    <row r="187" outlineLevel="1">
      <c r="A187" s="42" t="inlineStr">
        <is>
          <t>P5-03-02</t>
        </is>
      </c>
      <c r="B187" s="42" t="inlineStr">
        <is>
          <t>P5</t>
        </is>
      </c>
      <c r="C187" s="43" t="inlineStr">
        <is>
          <t>結婚式</t>
        </is>
      </c>
      <c r="D187" s="42" t="n">
        <v>3</v>
      </c>
      <c r="E187" s="44" t="inlineStr">
        <is>
          <t>候補会場を5〜8件リストアップする</t>
        </is>
      </c>
      <c r="F187" s="45" t="inlineStr">
        <is>
          <t>リストができている</t>
        </is>
      </c>
      <c r="G187" s="45" t="inlineStr"/>
      <c r="H187" s="45" t="inlineStr"/>
      <c r="I187" s="45" t="inlineStr"/>
      <c r="J187" s="42" t="n">
        <v>12</v>
      </c>
      <c r="K187" s="46">
        <f>EDATE('はじめに'!$C$5,J187)</f>
        <v/>
      </c>
      <c r="L187" s="42" t="inlineStr">
        <is>
          <t>推奨</t>
        </is>
      </c>
      <c r="M187" s="42" t="inlineStr">
        <is>
          <t>2人</t>
        </is>
      </c>
      <c r="N187" s="42" t="inlineStr">
        <is>
          <t>2時間</t>
        </is>
      </c>
      <c r="O187" s="45" t="inlineStr"/>
      <c r="P187" s="45" t="inlineStr"/>
      <c r="Q187" s="38" t="inlineStr">
        <is>
          <t>未着手</t>
        </is>
      </c>
      <c r="R187" s="28" t="inlineStr"/>
    </row>
    <row r="188" outlineLevel="1">
      <c r="A188" s="39" t="inlineStr">
        <is>
          <t>P5-03-03</t>
        </is>
      </c>
      <c r="B188" s="39" t="inlineStr">
        <is>
          <t>P5</t>
        </is>
      </c>
      <c r="C188" s="22" t="inlineStr">
        <is>
          <t>結婚式</t>
        </is>
      </c>
      <c r="D188" s="39" t="n">
        <v>3</v>
      </c>
      <c r="E188" s="40" t="inlineStr">
        <is>
          <t>見学・ブライダルフェアを3〜5件予約する</t>
        </is>
      </c>
      <c r="F188" s="24" t="inlineStr">
        <is>
          <t>予約が入っている</t>
        </is>
      </c>
      <c r="G188" s="24" t="inlineStr"/>
      <c r="H188" s="24" t="inlineStr"/>
      <c r="I188" s="24" t="inlineStr"/>
      <c r="J188" s="39" t="n">
        <v>12</v>
      </c>
      <c r="K188" s="41">
        <f>EDATE('はじめに'!$C$5,J188)</f>
        <v/>
      </c>
      <c r="L188" s="39" t="inlineStr">
        <is>
          <t>推奨</t>
        </is>
      </c>
      <c r="M188" s="39" t="inlineStr">
        <is>
          <t>どちらか</t>
        </is>
      </c>
      <c r="N188" s="39" t="inlineStr">
        <is>
          <t>1時間</t>
        </is>
      </c>
      <c r="O188" s="24" t="inlineStr"/>
      <c r="P188" s="24" t="inlineStr"/>
      <c r="Q188" s="38" t="inlineStr">
        <is>
          <t>未着手</t>
        </is>
      </c>
      <c r="R188" s="28" t="inlineStr"/>
    </row>
    <row r="189">
      <c r="A189" s="33" t="inlineStr">
        <is>
          <t>P5-04</t>
        </is>
      </c>
      <c r="B189" s="33" t="inlineStr">
        <is>
          <t>P5</t>
        </is>
      </c>
      <c r="C189" s="34" t="inlineStr">
        <is>
          <t>結婚式</t>
        </is>
      </c>
      <c r="D189" s="33" t="n">
        <v>2</v>
      </c>
      <c r="E189" s="35" t="inlineStr">
        <is>
          <t>会場見学を実施して比較する</t>
        </is>
      </c>
      <c r="F189" s="36" t="inlineStr">
        <is>
          <t>同一条件の見積が3件以上揃い、比較表ができている</t>
        </is>
      </c>
      <c r="G189" s="36" t="inlineStr">
        <is>
          <t>どこまで比較するか、何を揃えて比べるか</t>
        </is>
      </c>
      <c r="H189" s="36" t="inlineStr"/>
      <c r="I189" s="36" t="inlineStr">
        <is>
          <t>初回見積は必ず最低ラインで出てくる。同条件で比較するために「人数・料理ランク・装花ランク・写真映像の有無」を揃えて出してもらう</t>
        </is>
      </c>
      <c r="J189" s="33" t="n">
        <v>13</v>
      </c>
      <c r="K189" s="37">
        <f>EDATE('はじめに'!$C$5,J189)</f>
        <v/>
      </c>
      <c r="L189" s="33" t="inlineStr">
        <is>
          <t>推奨</t>
        </is>
      </c>
      <c r="M189" s="33" t="inlineStr">
        <is>
          <t>2人</t>
        </is>
      </c>
      <c r="N189" s="33" t="inlineStr">
        <is>
          <t>3〜4週間</t>
        </is>
      </c>
      <c r="O189" s="36" t="inlineStr"/>
      <c r="P189" s="36" t="inlineStr">
        <is>
          <t>会場探し</t>
        </is>
      </c>
      <c r="Q189" s="38" t="inlineStr">
        <is>
          <t>未着手</t>
        </is>
      </c>
      <c r="R189" s="28" t="inlineStr"/>
    </row>
    <row r="190" outlineLevel="1">
      <c r="A190" s="39" t="inlineStr">
        <is>
          <t>P5-04-01</t>
        </is>
      </c>
      <c r="B190" s="39" t="inlineStr">
        <is>
          <t>P5</t>
        </is>
      </c>
      <c r="C190" s="22" t="inlineStr">
        <is>
          <t>結婚式</t>
        </is>
      </c>
      <c r="D190" s="39" t="n">
        <v>3</v>
      </c>
      <c r="E190" s="40" t="inlineStr">
        <is>
          <t>見学時の質問リストを作る（持ち込み料・お車代・カメラマン持ち込み可否・音響・アレルギー対応・雨天時）</t>
        </is>
      </c>
      <c r="F190" s="24" t="inlineStr">
        <is>
          <t>質問リストが手元にある</t>
        </is>
      </c>
      <c r="G190" s="24" t="inlineStr"/>
      <c r="H190" s="24" t="inlineStr"/>
      <c r="I190" s="24" t="inlineStr"/>
      <c r="J190" s="39" t="n">
        <v>13</v>
      </c>
      <c r="K190" s="41">
        <f>EDATE('はじめに'!$C$5,J190)</f>
        <v/>
      </c>
      <c r="L190" s="39" t="inlineStr">
        <is>
          <t>推奨</t>
        </is>
      </c>
      <c r="M190" s="39" t="inlineStr">
        <is>
          <t>どちらか</t>
        </is>
      </c>
      <c r="N190" s="39" t="inlineStr">
        <is>
          <t>1時間</t>
        </is>
      </c>
      <c r="O190" s="24" t="inlineStr"/>
      <c r="P190" s="24" t="inlineStr"/>
      <c r="Q190" s="38" t="inlineStr">
        <is>
          <t>未着手</t>
        </is>
      </c>
      <c r="R190" s="28" t="inlineStr"/>
    </row>
    <row r="191" outlineLevel="1">
      <c r="A191" s="42" t="inlineStr">
        <is>
          <t>P5-04-02</t>
        </is>
      </c>
      <c r="B191" s="42" t="inlineStr">
        <is>
          <t>P5</t>
        </is>
      </c>
      <c r="C191" s="43" t="inlineStr">
        <is>
          <t>結婚式</t>
        </is>
      </c>
      <c r="D191" s="42" t="n">
        <v>3</v>
      </c>
      <c r="E191" s="44" t="inlineStr">
        <is>
          <t>見積の前提条件（人数・料理・装花・写真）を統一して依頼する</t>
        </is>
      </c>
      <c r="F191" s="45" t="inlineStr">
        <is>
          <t>同条件の見積が出てくる</t>
        </is>
      </c>
      <c r="G191" s="45" t="inlineStr"/>
      <c r="H191" s="45" t="inlineStr"/>
      <c r="I191" s="45" t="inlineStr"/>
      <c r="J191" s="42" t="n">
        <v>13</v>
      </c>
      <c r="K191" s="46">
        <f>EDATE('はじめに'!$C$5,J191)</f>
        <v/>
      </c>
      <c r="L191" s="42" t="inlineStr">
        <is>
          <t>推奨</t>
        </is>
      </c>
      <c r="M191" s="42" t="inlineStr">
        <is>
          <t>2人</t>
        </is>
      </c>
      <c r="N191" s="42" t="inlineStr">
        <is>
          <t>30分</t>
        </is>
      </c>
      <c r="O191" s="45" t="inlineStr"/>
      <c r="P191" s="45" t="inlineStr"/>
      <c r="Q191" s="38" t="inlineStr">
        <is>
          <t>未着手</t>
        </is>
      </c>
      <c r="R191" s="28" t="inlineStr"/>
    </row>
    <row r="192" outlineLevel="1">
      <c r="A192" s="39" t="inlineStr">
        <is>
          <t>P5-04-03</t>
        </is>
      </c>
      <c r="B192" s="39" t="inlineStr">
        <is>
          <t>P5</t>
        </is>
      </c>
      <c r="C192" s="22" t="inlineStr">
        <is>
          <t>結婚式</t>
        </is>
      </c>
      <c r="D192" s="39" t="n">
        <v>3</v>
      </c>
      <c r="E192" s="40" t="inlineStr">
        <is>
          <t>見学を実施する（1日2件まで。それ以上は判断力が落ちる）</t>
        </is>
      </c>
      <c r="F192" s="24" t="inlineStr">
        <is>
          <t>3〜5件見学済み</t>
        </is>
      </c>
      <c r="G192" s="24" t="inlineStr"/>
      <c r="H192" s="24" t="inlineStr"/>
      <c r="I192" s="24" t="inlineStr"/>
      <c r="J192" s="39" t="n">
        <v>13</v>
      </c>
      <c r="K192" s="41">
        <f>EDATE('はじめに'!$C$5,J192)</f>
        <v/>
      </c>
      <c r="L192" s="39" t="inlineStr">
        <is>
          <t>推奨</t>
        </is>
      </c>
      <c r="M192" s="39" t="inlineStr">
        <is>
          <t>2人</t>
        </is>
      </c>
      <c r="N192" s="39" t="inlineStr">
        <is>
          <t>3日</t>
        </is>
      </c>
      <c r="O192" s="24" t="inlineStr"/>
      <c r="P192" s="24" t="inlineStr"/>
      <c r="Q192" s="38" t="inlineStr">
        <is>
          <t>未着手</t>
        </is>
      </c>
      <c r="R192" s="28" t="inlineStr"/>
    </row>
    <row r="193" outlineLevel="1">
      <c r="A193" s="42" t="inlineStr">
        <is>
          <t>P5-04-04</t>
        </is>
      </c>
      <c r="B193" s="42" t="inlineStr">
        <is>
          <t>P5</t>
        </is>
      </c>
      <c r="C193" s="43" t="inlineStr">
        <is>
          <t>結婚式</t>
        </is>
      </c>
      <c r="D193" s="42" t="n">
        <v>3</v>
      </c>
      <c r="E193" s="44" t="inlineStr">
        <is>
          <t>見積比較表を作り、条件と金額を並べる</t>
        </is>
      </c>
      <c r="F193" s="45" t="inlineStr">
        <is>
          <t>比較表ができている</t>
        </is>
      </c>
      <c r="G193" s="45" t="inlineStr"/>
      <c r="H193" s="45" t="inlineStr"/>
      <c r="I193" s="45" t="inlineStr"/>
      <c r="J193" s="42" t="n">
        <v>13</v>
      </c>
      <c r="K193" s="46">
        <f>EDATE('はじめに'!$C$5,J193)</f>
        <v/>
      </c>
      <c r="L193" s="42" t="inlineStr">
        <is>
          <t>推奨</t>
        </is>
      </c>
      <c r="M193" s="42" t="inlineStr">
        <is>
          <t>2人</t>
        </is>
      </c>
      <c r="N193" s="42" t="inlineStr">
        <is>
          <t>2時間</t>
        </is>
      </c>
      <c r="O193" s="45" t="inlineStr"/>
      <c r="P193" s="45" t="inlineStr"/>
      <c r="Q193" s="38" t="inlineStr">
        <is>
          <t>未着手</t>
        </is>
      </c>
      <c r="R193" s="28" t="inlineStr"/>
    </row>
    <row r="194" outlineLevel="1">
      <c r="A194" s="39" t="inlineStr">
        <is>
          <t>P5-04-05</t>
        </is>
      </c>
      <c r="B194" s="39" t="inlineStr">
        <is>
          <t>P5</t>
        </is>
      </c>
      <c r="C194" s="22" t="inlineStr">
        <is>
          <t>結婚式</t>
        </is>
      </c>
      <c r="D194" s="39" t="n">
        <v>3</v>
      </c>
      <c r="E194" s="40" t="inlineStr">
        <is>
          <t>キャンセル規定・延期規定を全候補で確認する</t>
        </is>
      </c>
      <c r="F194" s="24" t="inlineStr">
        <is>
          <t>リスクが把握できている</t>
        </is>
      </c>
      <c r="G194" s="24" t="inlineStr"/>
      <c r="H194" s="24" t="inlineStr"/>
      <c r="I194" s="24" t="inlineStr"/>
      <c r="J194" s="39" t="n">
        <v>13</v>
      </c>
      <c r="K194" s="41">
        <f>EDATE('はじめに'!$C$5,J194)</f>
        <v/>
      </c>
      <c r="L194" s="39" t="inlineStr">
        <is>
          <t>推奨</t>
        </is>
      </c>
      <c r="M194" s="39" t="inlineStr">
        <is>
          <t>2人</t>
        </is>
      </c>
      <c r="N194" s="39" t="inlineStr">
        <is>
          <t>1時間</t>
        </is>
      </c>
      <c r="O194" s="24" t="inlineStr"/>
      <c r="P194" s="24" t="inlineStr"/>
      <c r="Q194" s="38" t="inlineStr">
        <is>
          <t>未着手</t>
        </is>
      </c>
      <c r="R194" s="28" t="inlineStr"/>
    </row>
    <row r="195">
      <c r="A195" s="33" t="inlineStr">
        <is>
          <t>P5-05</t>
        </is>
      </c>
      <c r="B195" s="33" t="inlineStr">
        <is>
          <t>P5</t>
        </is>
      </c>
      <c r="C195" s="34" t="inlineStr">
        <is>
          <t>結婚式</t>
        </is>
      </c>
      <c r="D195" s="33" t="n">
        <v>2</v>
      </c>
      <c r="E195" s="35" t="inlineStr">
        <is>
          <t>会場を成約する</t>
        </is>
      </c>
      <c r="F195" s="36" t="inlineStr">
        <is>
          <t>契約書に署名し、内金を支払っている</t>
        </is>
      </c>
      <c r="G195" s="36" t="inlineStr"/>
      <c r="H195" s="36" t="inlineStr"/>
      <c r="I195" s="36" t="inlineStr"/>
      <c r="J195" s="33" t="n">
        <v>14</v>
      </c>
      <c r="K195" s="37">
        <f>EDATE('はじめに'!$C$5,J195)</f>
        <v/>
      </c>
      <c r="L195" s="33" t="inlineStr">
        <is>
          <t>推奨</t>
        </is>
      </c>
      <c r="M195" s="33" t="inlineStr">
        <is>
          <t>2人</t>
        </is>
      </c>
      <c r="N195" s="33" t="inlineStr">
        <is>
          <t>1週間</t>
        </is>
      </c>
      <c r="O195" s="36" t="inlineStr">
        <is>
          <t>10〜20万円</t>
        </is>
      </c>
      <c r="P195" s="36" t="inlineStr">
        <is>
          <t>会場見学の実施</t>
        </is>
      </c>
      <c r="Q195" s="38" t="inlineStr">
        <is>
          <t>未着手</t>
        </is>
      </c>
      <c r="R195" s="28" t="inlineStr"/>
    </row>
    <row r="196" outlineLevel="1">
      <c r="A196" s="39" t="inlineStr">
        <is>
          <t>P5-05-01</t>
        </is>
      </c>
      <c r="B196" s="39" t="inlineStr">
        <is>
          <t>P5</t>
        </is>
      </c>
      <c r="C196" s="22" t="inlineStr">
        <is>
          <t>結婚式</t>
        </is>
      </c>
      <c r="D196" s="39" t="n">
        <v>3</v>
      </c>
      <c r="E196" s="40" t="inlineStr">
        <is>
          <t>値引き交渉をする（他会場の見積を材料にする）</t>
        </is>
      </c>
      <c r="F196" s="24" t="inlineStr">
        <is>
          <t>交渉が済んでいる</t>
        </is>
      </c>
      <c r="G196" s="24" t="inlineStr"/>
      <c r="H196" s="24" t="inlineStr"/>
      <c r="I196" s="24" t="inlineStr"/>
      <c r="J196" s="39" t="n">
        <v>14</v>
      </c>
      <c r="K196" s="41">
        <f>EDATE('はじめに'!$C$5,J196)</f>
        <v/>
      </c>
      <c r="L196" s="39" t="inlineStr">
        <is>
          <t>任意</t>
        </is>
      </c>
      <c r="M196" s="39" t="inlineStr">
        <is>
          <t>2人</t>
        </is>
      </c>
      <c r="N196" s="39" t="inlineStr">
        <is>
          <t>2時間</t>
        </is>
      </c>
      <c r="O196" s="24" t="inlineStr"/>
      <c r="P196" s="24" t="inlineStr"/>
      <c r="Q196" s="38" t="inlineStr">
        <is>
          <t>未着手</t>
        </is>
      </c>
      <c r="R196" s="28" t="inlineStr"/>
    </row>
    <row r="197" outlineLevel="1">
      <c r="A197" s="42" t="inlineStr">
        <is>
          <t>P5-05-02</t>
        </is>
      </c>
      <c r="B197" s="42" t="inlineStr">
        <is>
          <t>P5</t>
        </is>
      </c>
      <c r="C197" s="43" t="inlineStr">
        <is>
          <t>結婚式</t>
        </is>
      </c>
      <c r="D197" s="42" t="n">
        <v>3</v>
      </c>
      <c r="E197" s="44" t="inlineStr">
        <is>
          <t>契約前にキャンセル料の発生時期を確認する</t>
        </is>
      </c>
      <c r="F197" s="45" t="inlineStr">
        <is>
          <t>いつから何%かかるか把握している</t>
        </is>
      </c>
      <c r="G197" s="45" t="inlineStr"/>
      <c r="H197" s="45" t="inlineStr"/>
      <c r="I197" s="45" t="inlineStr"/>
      <c r="J197" s="42" t="n">
        <v>14</v>
      </c>
      <c r="K197" s="46">
        <f>EDATE('はじめに'!$C$5,J197)</f>
        <v/>
      </c>
      <c r="L197" s="42" t="inlineStr">
        <is>
          <t>推奨</t>
        </is>
      </c>
      <c r="M197" s="42" t="inlineStr">
        <is>
          <t>2人</t>
        </is>
      </c>
      <c r="N197" s="42" t="inlineStr">
        <is>
          <t>30分</t>
        </is>
      </c>
      <c r="O197" s="45" t="inlineStr"/>
      <c r="P197" s="45" t="inlineStr"/>
      <c r="Q197" s="38" t="inlineStr">
        <is>
          <t>未着手</t>
        </is>
      </c>
      <c r="R197" s="28" t="inlineStr"/>
    </row>
    <row r="198" outlineLevel="1">
      <c r="A198" s="39" t="inlineStr">
        <is>
          <t>P5-05-03</t>
        </is>
      </c>
      <c r="B198" s="39" t="inlineStr">
        <is>
          <t>P5</t>
        </is>
      </c>
      <c r="C198" s="22" t="inlineStr">
        <is>
          <t>結婚式</t>
        </is>
      </c>
      <c r="D198" s="39" t="n">
        <v>3</v>
      </c>
      <c r="E198" s="40" t="inlineStr">
        <is>
          <t>契約・内金の支払い</t>
        </is>
      </c>
      <c r="F198" s="24" t="inlineStr">
        <is>
          <t>成約済み</t>
        </is>
      </c>
      <c r="G198" s="24" t="inlineStr"/>
      <c r="H198" s="24" t="inlineStr"/>
      <c r="I198" s="24" t="inlineStr"/>
      <c r="J198" s="39" t="n">
        <v>14</v>
      </c>
      <c r="K198" s="41">
        <f>EDATE('はじめに'!$C$5,J198)</f>
        <v/>
      </c>
      <c r="L198" s="39" t="inlineStr">
        <is>
          <t>推奨</t>
        </is>
      </c>
      <c r="M198" s="39" t="inlineStr">
        <is>
          <t>2人</t>
        </is>
      </c>
      <c r="N198" s="39" t="inlineStr">
        <is>
          <t>2時間</t>
        </is>
      </c>
      <c r="O198" s="24" t="inlineStr"/>
      <c r="P198" s="24" t="inlineStr"/>
      <c r="Q198" s="38" t="inlineStr">
        <is>
          <t>未着手</t>
        </is>
      </c>
      <c r="R198" s="28" t="inlineStr"/>
    </row>
    <row r="199">
      <c r="A199" s="33" t="inlineStr">
        <is>
          <t>P5-06</t>
        </is>
      </c>
      <c r="B199" s="33" t="inlineStr">
        <is>
          <t>P5</t>
        </is>
      </c>
      <c r="C199" s="34" t="inlineStr">
        <is>
          <t>結婚式</t>
        </is>
      </c>
      <c r="D199" s="33" t="n">
        <v>2</v>
      </c>
      <c r="E199" s="35" t="inlineStr">
        <is>
          <t>予算の上限と削る優先順位を決める</t>
        </is>
      </c>
      <c r="F199" s="36" t="inlineStr">
        <is>
          <t>上限額と、超えたときに削る項目の順番が紙になっている</t>
        </is>
      </c>
      <c r="G199" s="36" t="inlineStr">
        <is>
          <t>どこまで増えたら止めるか</t>
        </is>
      </c>
      <c r="H199" s="36" t="inlineStr"/>
      <c r="I199" s="36" t="inlineStr">
        <is>
          <t>初回見積から+80〜150万円が相場。上限額を先に決めて、超えたら削る項目の優先順位を作っておくと打ち合わせの場で流されない</t>
        </is>
      </c>
      <c r="J199" s="33" t="n">
        <v>14</v>
      </c>
      <c r="K199" s="37">
        <f>EDATE('はじめに'!$C$5,J199)</f>
        <v/>
      </c>
      <c r="L199" s="33" t="inlineStr">
        <is>
          <t>推奨</t>
        </is>
      </c>
      <c r="M199" s="33" t="inlineStr">
        <is>
          <t>2人</t>
        </is>
      </c>
      <c r="N199" s="33" t="inlineStr">
        <is>
          <t>2時間</t>
        </is>
      </c>
      <c r="O199" s="36" t="inlineStr"/>
      <c r="P199" s="36" t="inlineStr">
        <is>
          <t>会場の成約</t>
        </is>
      </c>
      <c r="Q199" s="38" t="inlineStr">
        <is>
          <t>未着手</t>
        </is>
      </c>
      <c r="R199" s="28" t="inlineStr"/>
    </row>
    <row r="200" outlineLevel="1">
      <c r="A200" s="39" t="inlineStr">
        <is>
          <t>P5-06-01</t>
        </is>
      </c>
      <c r="B200" s="39" t="inlineStr">
        <is>
          <t>P5</t>
        </is>
      </c>
      <c r="C200" s="22" t="inlineStr">
        <is>
          <t>結婚式</t>
        </is>
      </c>
      <c r="D200" s="39" t="n">
        <v>3</v>
      </c>
      <c r="E200" s="40" t="inlineStr">
        <is>
          <t>総額の上限を数字で決める</t>
        </is>
      </c>
      <c r="F200" s="24" t="inlineStr">
        <is>
          <t>上限が決まっている</t>
        </is>
      </c>
      <c r="G200" s="24" t="inlineStr"/>
      <c r="H200" s="24" t="inlineStr"/>
      <c r="I200" s="24" t="inlineStr"/>
      <c r="J200" s="39" t="n">
        <v>14</v>
      </c>
      <c r="K200" s="41">
        <f>EDATE('はじめに'!$C$5,J200)</f>
        <v/>
      </c>
      <c r="L200" s="39" t="inlineStr">
        <is>
          <t>推奨</t>
        </is>
      </c>
      <c r="M200" s="39" t="inlineStr">
        <is>
          <t>2人</t>
        </is>
      </c>
      <c r="N200" s="39" t="inlineStr">
        <is>
          <t>30分</t>
        </is>
      </c>
      <c r="O200" s="24" t="inlineStr"/>
      <c r="P200" s="24" t="inlineStr"/>
      <c r="Q200" s="38" t="inlineStr">
        <is>
          <t>未着手</t>
        </is>
      </c>
      <c r="R200" s="28" t="inlineStr"/>
    </row>
    <row r="201" outlineLevel="1">
      <c r="A201" s="42" t="inlineStr">
        <is>
          <t>P5-06-02</t>
        </is>
      </c>
      <c r="B201" s="42" t="inlineStr">
        <is>
          <t>P5</t>
        </is>
      </c>
      <c r="C201" s="43" t="inlineStr">
        <is>
          <t>結婚式</t>
        </is>
      </c>
      <c r="D201" s="42" t="n">
        <v>3</v>
      </c>
      <c r="E201" s="44" t="inlineStr">
        <is>
          <t>削れる項目を優先順位付きでリスト化する（装花・演出・引出物ランク・映像）</t>
        </is>
      </c>
      <c r="F201" s="45" t="inlineStr">
        <is>
          <t>削減リストができている</t>
        </is>
      </c>
      <c r="G201" s="45" t="inlineStr"/>
      <c r="H201" s="45" t="inlineStr"/>
      <c r="I201" s="45" t="inlineStr"/>
      <c r="J201" s="42" t="n">
        <v>14</v>
      </c>
      <c r="K201" s="46">
        <f>EDATE('はじめに'!$C$5,J201)</f>
        <v/>
      </c>
      <c r="L201" s="42" t="inlineStr">
        <is>
          <t>推奨</t>
        </is>
      </c>
      <c r="M201" s="42" t="inlineStr">
        <is>
          <t>2人</t>
        </is>
      </c>
      <c r="N201" s="42" t="inlineStr">
        <is>
          <t>1時間</t>
        </is>
      </c>
      <c r="O201" s="45" t="inlineStr"/>
      <c r="P201" s="45" t="inlineStr"/>
      <c r="Q201" s="38" t="inlineStr">
        <is>
          <t>未着手</t>
        </is>
      </c>
      <c r="R201" s="28" t="inlineStr"/>
    </row>
    <row r="202" outlineLevel="1">
      <c r="A202" s="39" t="inlineStr">
        <is>
          <t>P5-06-03</t>
        </is>
      </c>
      <c r="B202" s="39" t="inlineStr">
        <is>
          <t>P5</t>
        </is>
      </c>
      <c r="C202" s="22" t="inlineStr">
        <is>
          <t>結婚式</t>
        </is>
      </c>
      <c r="D202" s="39" t="n">
        <v>3</v>
      </c>
      <c r="E202" s="40" t="inlineStr">
        <is>
          <t>「打ち合わせの場では即決しない、持ち帰る」をルールにする</t>
        </is>
      </c>
      <c r="F202" s="24" t="inlineStr">
        <is>
          <t>2人が合意している</t>
        </is>
      </c>
      <c r="G202" s="24" t="inlineStr"/>
      <c r="H202" s="24" t="inlineStr"/>
      <c r="I202" s="24" t="inlineStr"/>
      <c r="J202" s="39" t="n">
        <v>14</v>
      </c>
      <c r="K202" s="41">
        <f>EDATE('はじめに'!$C$5,J202)</f>
        <v/>
      </c>
      <c r="L202" s="39" t="inlineStr">
        <is>
          <t>推奨</t>
        </is>
      </c>
      <c r="M202" s="39" t="inlineStr">
        <is>
          <t>2人</t>
        </is>
      </c>
      <c r="N202" s="39" t="inlineStr">
        <is>
          <t>15分</t>
        </is>
      </c>
      <c r="O202" s="24" t="inlineStr"/>
      <c r="P202" s="24" t="inlineStr"/>
      <c r="Q202" s="38" t="inlineStr">
        <is>
          <t>未着手</t>
        </is>
      </c>
      <c r="R202" s="28" t="inlineStr"/>
    </row>
    <row r="203">
      <c r="A203" s="33" t="inlineStr">
        <is>
          <t>P5-07</t>
        </is>
      </c>
      <c r="B203" s="33" t="inlineStr">
        <is>
          <t>P5</t>
        </is>
      </c>
      <c r="C203" s="34" t="inlineStr">
        <is>
          <t>結婚式</t>
        </is>
      </c>
      <c r="D203" s="33" t="n">
        <v>2</v>
      </c>
      <c r="E203" s="35" t="inlineStr">
        <is>
          <t>招待客リストを確定する</t>
        </is>
      </c>
      <c r="F203" s="36" t="inlineStr">
        <is>
          <t>最終リストができ、住所も揃っている</t>
        </is>
      </c>
      <c r="G203" s="36" t="inlineStr">
        <is>
          <t>両家の人数バランス、職場をどこまで呼ぶか、親族の範囲</t>
        </is>
      </c>
      <c r="H203" s="36" t="inlineStr"/>
      <c r="I203" s="36" t="inlineStr">
        <is>
          <t>両家で揉める代表格。「誰を呼ぶかは各自が自分の側を決め、人数だけ揃える」方式にすると衝突が減る。親の希望枠を最初から確保しておく</t>
        </is>
      </c>
      <c r="J203" s="33" t="n">
        <v>14</v>
      </c>
      <c r="K203" s="37">
        <f>EDATE('はじめに'!$C$5,J203)</f>
        <v/>
      </c>
      <c r="L203" s="33" t="inlineStr">
        <is>
          <t>推奨</t>
        </is>
      </c>
      <c r="M203" s="33" t="inlineStr">
        <is>
          <t>2人</t>
        </is>
      </c>
      <c r="N203" s="33" t="inlineStr">
        <is>
          <t>3〜4週間</t>
        </is>
      </c>
      <c r="O203" s="36" t="inlineStr"/>
      <c r="P203" s="36" t="inlineStr">
        <is>
          <t>会場の成約</t>
        </is>
      </c>
      <c r="Q203" s="38" t="inlineStr">
        <is>
          <t>未着手</t>
        </is>
      </c>
      <c r="R203" s="28" t="inlineStr"/>
    </row>
    <row r="204" outlineLevel="1">
      <c r="A204" s="39" t="inlineStr">
        <is>
          <t>P5-07-01</t>
        </is>
      </c>
      <c r="B204" s="39" t="inlineStr">
        <is>
          <t>P5</t>
        </is>
      </c>
      <c r="C204" s="22" t="inlineStr">
        <is>
          <t>結婚式</t>
        </is>
      </c>
      <c r="D204" s="39" t="n">
        <v>3</v>
      </c>
      <c r="E204" s="40" t="inlineStr">
        <is>
          <t>各自が自分の側の招待候補を書き出す</t>
        </is>
      </c>
      <c r="F204" s="24" t="inlineStr">
        <is>
          <t>両側のリストが揃っている</t>
        </is>
      </c>
      <c r="G204" s="24" t="inlineStr"/>
      <c r="H204" s="24" t="inlineStr"/>
      <c r="I204" s="24" t="inlineStr"/>
      <c r="J204" s="39" t="n">
        <v>14</v>
      </c>
      <c r="K204" s="41">
        <f>EDATE('はじめに'!$C$5,J204)</f>
        <v/>
      </c>
      <c r="L204" s="39" t="inlineStr">
        <is>
          <t>推奨</t>
        </is>
      </c>
      <c r="M204" s="39" t="inlineStr">
        <is>
          <t>2人</t>
        </is>
      </c>
      <c r="N204" s="39" t="inlineStr">
        <is>
          <t>2時間</t>
        </is>
      </c>
      <c r="O204" s="24" t="inlineStr"/>
      <c r="P204" s="24" t="inlineStr"/>
      <c r="Q204" s="38" t="inlineStr">
        <is>
          <t>未着手</t>
        </is>
      </c>
      <c r="R204" s="28" t="inlineStr"/>
    </row>
    <row r="205" outlineLevel="1">
      <c r="A205" s="42" t="inlineStr">
        <is>
          <t>P5-07-02</t>
        </is>
      </c>
      <c r="B205" s="42" t="inlineStr">
        <is>
          <t>P5</t>
        </is>
      </c>
      <c r="C205" s="43" t="inlineStr">
        <is>
          <t>結婚式</t>
        </is>
      </c>
      <c r="D205" s="42" t="n">
        <v>3</v>
      </c>
      <c r="E205" s="44" t="inlineStr">
        <is>
          <t>各自が自分の実親に「呼びたい人」を確認する</t>
        </is>
      </c>
      <c r="F205" s="45" t="inlineStr">
        <is>
          <t>親の希望が反映されている</t>
        </is>
      </c>
      <c r="G205" s="45" t="inlineStr"/>
      <c r="H205" s="45" t="inlineStr"/>
      <c r="I205" s="45" t="inlineStr"/>
      <c r="J205" s="42" t="n">
        <v>14</v>
      </c>
      <c r="K205" s="46">
        <f>EDATE('はじめに'!$C$5,J205)</f>
        <v/>
      </c>
      <c r="L205" s="42" t="inlineStr">
        <is>
          <t>推奨</t>
        </is>
      </c>
      <c r="M205" s="42" t="inlineStr">
        <is>
          <t>2人</t>
        </is>
      </c>
      <c r="N205" s="42" t="inlineStr">
        <is>
          <t>1時間</t>
        </is>
      </c>
      <c r="O205" s="45" t="inlineStr"/>
      <c r="P205" s="45" t="inlineStr"/>
      <c r="Q205" s="38" t="inlineStr">
        <is>
          <t>未着手</t>
        </is>
      </c>
      <c r="R205" s="28" t="inlineStr"/>
    </row>
    <row r="206" outlineLevel="1">
      <c r="A206" s="39" t="inlineStr">
        <is>
          <t>P5-07-03</t>
        </is>
      </c>
      <c r="B206" s="39" t="inlineStr">
        <is>
          <t>P5</t>
        </is>
      </c>
      <c r="C206" s="22" t="inlineStr">
        <is>
          <t>結婚式</t>
        </is>
      </c>
      <c r="D206" s="39" t="n">
        <v>3</v>
      </c>
      <c r="E206" s="40" t="inlineStr">
        <is>
          <t>人数バランスを調整して最終リストを確定する</t>
        </is>
      </c>
      <c r="F206" s="24" t="inlineStr">
        <is>
          <t>最終人数が決まっている</t>
        </is>
      </c>
      <c r="G206" s="24" t="inlineStr"/>
      <c r="H206" s="24" t="inlineStr"/>
      <c r="I206" s="24" t="inlineStr"/>
      <c r="J206" s="39" t="n">
        <v>15</v>
      </c>
      <c r="K206" s="41">
        <f>EDATE('はじめに'!$C$5,J206)</f>
        <v/>
      </c>
      <c r="L206" s="39" t="inlineStr">
        <is>
          <t>推奨</t>
        </is>
      </c>
      <c r="M206" s="39" t="inlineStr">
        <is>
          <t>2人</t>
        </is>
      </c>
      <c r="N206" s="39" t="inlineStr">
        <is>
          <t>1時間</t>
        </is>
      </c>
      <c r="O206" s="24" t="inlineStr"/>
      <c r="P206" s="24" t="inlineStr"/>
      <c r="Q206" s="38" t="inlineStr">
        <is>
          <t>未着手</t>
        </is>
      </c>
      <c r="R206" s="28" t="inlineStr"/>
    </row>
    <row r="207" outlineLevel="1">
      <c r="A207" s="42" t="inlineStr">
        <is>
          <t>P5-07-04</t>
        </is>
      </c>
      <c r="B207" s="42" t="inlineStr">
        <is>
          <t>P5</t>
        </is>
      </c>
      <c r="C207" s="43" t="inlineStr">
        <is>
          <t>結婚式</t>
        </is>
      </c>
      <c r="D207" s="42" t="n">
        <v>3</v>
      </c>
      <c r="E207" s="44" t="inlineStr">
        <is>
          <t>招待の打診を先に口頭・LINEで行う（招待状はその後）</t>
        </is>
      </c>
      <c r="F207" s="45" t="inlineStr">
        <is>
          <t>参加見込みが把握できている</t>
        </is>
      </c>
      <c r="G207" s="45" t="inlineStr"/>
      <c r="H207" s="45" t="inlineStr"/>
      <c r="I207" s="45" t="inlineStr"/>
      <c r="J207" s="42" t="n">
        <v>15</v>
      </c>
      <c r="K207" s="46">
        <f>EDATE('はじめに'!$C$5,J207)</f>
        <v/>
      </c>
      <c r="L207" s="42" t="inlineStr">
        <is>
          <t>推奨</t>
        </is>
      </c>
      <c r="M207" s="42" t="inlineStr">
        <is>
          <t>2人</t>
        </is>
      </c>
      <c r="N207" s="42" t="inlineStr">
        <is>
          <t>1週間</t>
        </is>
      </c>
      <c r="O207" s="45" t="inlineStr"/>
      <c r="P207" s="45" t="inlineStr"/>
      <c r="Q207" s="38" t="inlineStr">
        <is>
          <t>未着手</t>
        </is>
      </c>
      <c r="R207" s="28" t="inlineStr"/>
    </row>
    <row r="208" outlineLevel="1">
      <c r="A208" s="39" t="inlineStr">
        <is>
          <t>P5-07-05</t>
        </is>
      </c>
      <c r="B208" s="39" t="inlineStr">
        <is>
          <t>P5</t>
        </is>
      </c>
      <c r="C208" s="22" t="inlineStr">
        <is>
          <t>結婚式</t>
        </is>
      </c>
      <c r="D208" s="39" t="n">
        <v>3</v>
      </c>
      <c r="E208" s="40" t="inlineStr">
        <is>
          <t>住所を収集する</t>
        </is>
      </c>
      <c r="F208" s="24" t="inlineStr">
        <is>
          <t>全員の住所が揃っている</t>
        </is>
      </c>
      <c r="G208" s="24" t="inlineStr"/>
      <c r="H208" s="24" t="inlineStr"/>
      <c r="I208" s="24" t="inlineStr"/>
      <c r="J208" s="39" t="n">
        <v>16</v>
      </c>
      <c r="K208" s="41">
        <f>EDATE('はじめに'!$C$5,J208)</f>
        <v/>
      </c>
      <c r="L208" s="39" t="inlineStr">
        <is>
          <t>推奨</t>
        </is>
      </c>
      <c r="M208" s="39" t="inlineStr">
        <is>
          <t>2人</t>
        </is>
      </c>
      <c r="N208" s="39" t="inlineStr">
        <is>
          <t>1週間</t>
        </is>
      </c>
      <c r="O208" s="24" t="inlineStr"/>
      <c r="P208" s="24" t="inlineStr"/>
      <c r="Q208" s="38" t="inlineStr">
        <is>
          <t>未着手</t>
        </is>
      </c>
      <c r="R208" s="28" t="inlineStr"/>
    </row>
    <row r="209" outlineLevel="1">
      <c r="A209" s="42" t="inlineStr">
        <is>
          <t>P5-07-06</t>
        </is>
      </c>
      <c r="B209" s="42" t="inlineStr">
        <is>
          <t>P5</t>
        </is>
      </c>
      <c r="C209" s="43" t="inlineStr">
        <is>
          <t>結婚式</t>
        </is>
      </c>
      <c r="D209" s="42" t="n">
        <v>3</v>
      </c>
      <c r="E209" s="44" t="inlineStr">
        <is>
          <t>主賓・乾杯・受付・余興の依頼をする</t>
        </is>
      </c>
      <c r="F209" s="45" t="inlineStr">
        <is>
          <t>役割の依頼が済んでいる</t>
        </is>
      </c>
      <c r="G209" s="45" t="inlineStr"/>
      <c r="H209" s="45" t="inlineStr"/>
      <c r="I209" s="45" t="inlineStr"/>
      <c r="J209" s="42" t="n">
        <v>16</v>
      </c>
      <c r="K209" s="46">
        <f>EDATE('はじめに'!$C$5,J209)</f>
        <v/>
      </c>
      <c r="L209" s="42" t="inlineStr">
        <is>
          <t>推奨</t>
        </is>
      </c>
      <c r="M209" s="42" t="inlineStr">
        <is>
          <t>2人</t>
        </is>
      </c>
      <c r="N209" s="42" t="inlineStr">
        <is>
          <t>1週間</t>
        </is>
      </c>
      <c r="O209" s="45" t="inlineStr"/>
      <c r="P209" s="45" t="inlineStr"/>
      <c r="Q209" s="38" t="inlineStr">
        <is>
          <t>未着手</t>
        </is>
      </c>
      <c r="R209" s="28" t="inlineStr"/>
    </row>
    <row r="210">
      <c r="A210" s="33" t="inlineStr">
        <is>
          <t>P5-08</t>
        </is>
      </c>
      <c r="B210" s="33" t="inlineStr">
        <is>
          <t>P5</t>
        </is>
      </c>
      <c r="C210" s="34" t="inlineStr">
        <is>
          <t>結婚式</t>
        </is>
      </c>
      <c r="D210" s="33" t="n">
        <v>2</v>
      </c>
      <c r="E210" s="35" t="inlineStr">
        <is>
          <t>結婚指輪を購入する</t>
        </is>
      </c>
      <c r="F210" s="36" t="inlineStr">
        <is>
          <t>受け取りが式の1ヶ月前までに完了する</t>
        </is>
      </c>
      <c r="G210" s="36" t="inlineStr">
        <is>
          <t>普段使いできるデザインか、予算はいくらか</t>
        </is>
      </c>
      <c r="H210" s="36" t="inlineStr">
        <is>
          <t>俄／杢目金屋／ケイウノ／4℃／アイプリモ／Tiffany／Cartier／手作り工房（2人で作る）</t>
        </is>
      </c>
      <c r="I210" s="36" t="inlineStr">
        <is>
          <t>納期が2〜3ヶ月。式の3ヶ月以上前に発注する。相場はペアで20〜30万円。仕事で着けられるか、金属アレルギーがないかを確認</t>
        </is>
      </c>
      <c r="J210" s="33" t="n">
        <v>14</v>
      </c>
      <c r="K210" s="37">
        <f>EDATE('はじめに'!$C$5,J210)</f>
        <v/>
      </c>
      <c r="L210" s="33" t="inlineStr">
        <is>
          <t>推奨</t>
        </is>
      </c>
      <c r="M210" s="33" t="inlineStr">
        <is>
          <t>2人</t>
        </is>
      </c>
      <c r="N210" s="33" t="inlineStr">
        <is>
          <t>2〜3ヶ月</t>
        </is>
      </c>
      <c r="O210" s="36" t="inlineStr">
        <is>
          <t>20〜30万円</t>
        </is>
      </c>
      <c r="P210" s="36" t="inlineStr"/>
      <c r="Q210" s="38" t="inlineStr">
        <is>
          <t>未着手</t>
        </is>
      </c>
      <c r="R210" s="28" t="inlineStr"/>
    </row>
    <row r="211" outlineLevel="1">
      <c r="A211" s="42" t="inlineStr">
        <is>
          <t>P5-08-01</t>
        </is>
      </c>
      <c r="B211" s="42" t="inlineStr">
        <is>
          <t>P5</t>
        </is>
      </c>
      <c r="C211" s="43" t="inlineStr">
        <is>
          <t>結婚式</t>
        </is>
      </c>
      <c r="D211" s="42" t="n">
        <v>3</v>
      </c>
      <c r="E211" s="44" t="inlineStr">
        <is>
          <t>予算と素材（プラチナ／ゴールド）を決める</t>
        </is>
      </c>
      <c r="F211" s="45" t="inlineStr">
        <is>
          <t>条件が決まっている</t>
        </is>
      </c>
      <c r="G211" s="45" t="inlineStr"/>
      <c r="H211" s="45" t="inlineStr"/>
      <c r="I211" s="45" t="inlineStr"/>
      <c r="J211" s="42" t="n">
        <v>14</v>
      </c>
      <c r="K211" s="46">
        <f>EDATE('はじめに'!$C$5,J211)</f>
        <v/>
      </c>
      <c r="L211" s="42" t="inlineStr">
        <is>
          <t>推奨</t>
        </is>
      </c>
      <c r="M211" s="42" t="inlineStr">
        <is>
          <t>2人</t>
        </is>
      </c>
      <c r="N211" s="42" t="inlineStr">
        <is>
          <t>30分</t>
        </is>
      </c>
      <c r="O211" s="45" t="inlineStr"/>
      <c r="P211" s="45" t="inlineStr"/>
      <c r="Q211" s="38" t="inlineStr">
        <is>
          <t>未着手</t>
        </is>
      </c>
      <c r="R211" s="28" t="inlineStr"/>
    </row>
    <row r="212" outlineLevel="1">
      <c r="A212" s="39" t="inlineStr">
        <is>
          <t>P5-08-02</t>
        </is>
      </c>
      <c r="B212" s="39" t="inlineStr">
        <is>
          <t>P5</t>
        </is>
      </c>
      <c r="C212" s="22" t="inlineStr">
        <is>
          <t>結婚式</t>
        </is>
      </c>
      <c r="D212" s="39" t="n">
        <v>3</v>
      </c>
      <c r="E212" s="40" t="inlineStr">
        <is>
          <t>3店舗以上で試着する</t>
        </is>
      </c>
      <c r="F212" s="24" t="inlineStr">
        <is>
          <t>候補が絞れている</t>
        </is>
      </c>
      <c r="G212" s="24" t="inlineStr"/>
      <c r="H212" s="24" t="inlineStr"/>
      <c r="I212" s="24" t="inlineStr"/>
      <c r="J212" s="39" t="n">
        <v>14</v>
      </c>
      <c r="K212" s="41">
        <f>EDATE('はじめに'!$C$5,J212)</f>
        <v/>
      </c>
      <c r="L212" s="39" t="inlineStr">
        <is>
          <t>推奨</t>
        </is>
      </c>
      <c r="M212" s="39" t="inlineStr">
        <is>
          <t>2人</t>
        </is>
      </c>
      <c r="N212" s="39" t="inlineStr">
        <is>
          <t>1日</t>
        </is>
      </c>
      <c r="O212" s="24" t="inlineStr"/>
      <c r="P212" s="24" t="inlineStr"/>
      <c r="Q212" s="38" t="inlineStr">
        <is>
          <t>未着手</t>
        </is>
      </c>
      <c r="R212" s="28" t="inlineStr"/>
    </row>
    <row r="213" outlineLevel="1">
      <c r="A213" s="42" t="inlineStr">
        <is>
          <t>P5-08-03</t>
        </is>
      </c>
      <c r="B213" s="42" t="inlineStr">
        <is>
          <t>P5</t>
        </is>
      </c>
      <c r="C213" s="43" t="inlineStr">
        <is>
          <t>結婚式</t>
        </is>
      </c>
      <c r="D213" s="42" t="n">
        <v>3</v>
      </c>
      <c r="E213" s="44" t="inlineStr">
        <is>
          <t>発注する（刻印・サイズ直しの納期を確認）</t>
        </is>
      </c>
      <c r="F213" s="45" t="inlineStr">
        <is>
          <t>受け取り日が確定している</t>
        </is>
      </c>
      <c r="G213" s="45" t="inlineStr"/>
      <c r="H213" s="45" t="inlineStr"/>
      <c r="I213" s="45" t="inlineStr"/>
      <c r="J213" s="42" t="n">
        <v>15</v>
      </c>
      <c r="K213" s="46">
        <f>EDATE('はじめに'!$C$5,J213)</f>
        <v/>
      </c>
      <c r="L213" s="42" t="inlineStr">
        <is>
          <t>推奨</t>
        </is>
      </c>
      <c r="M213" s="42" t="inlineStr">
        <is>
          <t>2人</t>
        </is>
      </c>
      <c r="N213" s="42" t="inlineStr">
        <is>
          <t>2時間</t>
        </is>
      </c>
      <c r="O213" s="45" t="inlineStr"/>
      <c r="P213" s="45" t="inlineStr"/>
      <c r="Q213" s="38" t="inlineStr">
        <is>
          <t>未着手</t>
        </is>
      </c>
      <c r="R213" s="28" t="inlineStr"/>
    </row>
    <row r="214">
      <c r="A214" s="33" t="inlineStr">
        <is>
          <t>P5-09</t>
        </is>
      </c>
      <c r="B214" s="33" t="inlineStr">
        <is>
          <t>P5</t>
        </is>
      </c>
      <c r="C214" s="34" t="inlineStr">
        <is>
          <t>結婚式</t>
        </is>
      </c>
      <c r="D214" s="33" t="n">
        <v>2</v>
      </c>
      <c r="E214" s="35" t="inlineStr">
        <is>
          <t>衣装を決める</t>
        </is>
      </c>
      <c r="F214" s="36" t="inlineStr">
        <is>
          <t>全ての衣装が確定し、小物も揃っている</t>
        </is>
      </c>
      <c r="G214" s="36" t="inlineStr">
        <is>
          <t>提携ショップか持ち込みか</t>
        </is>
      </c>
      <c r="H214" s="36" t="inlineStr">
        <is>
          <t>会場提携ショップ／外部レンタル（THE DRESSY、Cache Cache、DRESSY by TAKAMI）／購入／親族の衣装</t>
        </is>
      </c>
      <c r="I214" s="36" t="inlineStr">
        <is>
          <t>持ち込み料が1点5〜10万円かかる会場がある。提携との差額と比較する。試着は1日3着までにしないと判断力が落ちる</t>
        </is>
      </c>
      <c r="J214" s="33" t="n">
        <v>15</v>
      </c>
      <c r="K214" s="37">
        <f>EDATE('はじめに'!$C$5,J214)</f>
        <v/>
      </c>
      <c r="L214" s="33" t="inlineStr">
        <is>
          <t>推奨</t>
        </is>
      </c>
      <c r="M214" s="33" t="inlineStr">
        <is>
          <t>2人</t>
        </is>
      </c>
      <c r="N214" s="33" t="inlineStr">
        <is>
          <t>2〜3ヶ月</t>
        </is>
      </c>
      <c r="O214" s="36" t="inlineStr">
        <is>
          <t>20〜60万円</t>
        </is>
      </c>
      <c r="P214" s="36" t="inlineStr">
        <is>
          <t>会場の成約</t>
        </is>
      </c>
      <c r="Q214" s="38" t="inlineStr">
        <is>
          <t>未着手</t>
        </is>
      </c>
      <c r="R214" s="28" t="inlineStr"/>
    </row>
    <row r="215" outlineLevel="1">
      <c r="A215" s="42" t="inlineStr">
        <is>
          <t>P5-09-01</t>
        </is>
      </c>
      <c r="B215" s="42" t="inlineStr">
        <is>
          <t>P5</t>
        </is>
      </c>
      <c r="C215" s="43" t="inlineStr">
        <is>
          <t>結婚式</t>
        </is>
      </c>
      <c r="D215" s="42" t="n">
        <v>3</v>
      </c>
      <c r="E215" s="44" t="inlineStr">
        <is>
          <t>持ち込み料の有無と金額を会場に確認する</t>
        </is>
      </c>
      <c r="F215" s="45" t="inlineStr">
        <is>
          <t>持ち込みの可否と費用が分かっている</t>
        </is>
      </c>
      <c r="G215" s="45" t="inlineStr"/>
      <c r="H215" s="45" t="inlineStr"/>
      <c r="I215" s="45" t="inlineStr"/>
      <c r="J215" s="42" t="n">
        <v>15</v>
      </c>
      <c r="K215" s="46">
        <f>EDATE('はじめに'!$C$5,J215)</f>
        <v/>
      </c>
      <c r="L215" s="42" t="inlineStr">
        <is>
          <t>推奨</t>
        </is>
      </c>
      <c r="M215" s="42" t="inlineStr">
        <is>
          <t>どちらか</t>
        </is>
      </c>
      <c r="N215" s="42" t="inlineStr">
        <is>
          <t>30分</t>
        </is>
      </c>
      <c r="O215" s="45" t="inlineStr"/>
      <c r="P215" s="45" t="inlineStr"/>
      <c r="Q215" s="38" t="inlineStr">
        <is>
          <t>未着手</t>
        </is>
      </c>
      <c r="R215" s="28" t="inlineStr"/>
    </row>
    <row r="216" outlineLevel="1">
      <c r="A216" s="39" t="inlineStr">
        <is>
          <t>P5-09-02</t>
        </is>
      </c>
      <c r="B216" s="39" t="inlineStr">
        <is>
          <t>P5</t>
        </is>
      </c>
      <c r="C216" s="22" t="inlineStr">
        <is>
          <t>結婚式</t>
        </is>
      </c>
      <c r="D216" s="39" t="n">
        <v>3</v>
      </c>
      <c r="E216" s="40" t="inlineStr">
        <is>
          <t>ドレス・和装の試着（2〜3回に分ける）</t>
        </is>
      </c>
      <c r="F216" s="24" t="inlineStr">
        <is>
          <t>衣装が決まっている</t>
        </is>
      </c>
      <c r="G216" s="24" t="inlineStr"/>
      <c r="H216" s="24" t="inlineStr"/>
      <c r="I216" s="24" t="inlineStr"/>
      <c r="J216" s="39" t="n">
        <v>15</v>
      </c>
      <c r="K216" s="41">
        <f>EDATE('はじめに'!$C$5,J216)</f>
        <v/>
      </c>
      <c r="L216" s="39" t="inlineStr">
        <is>
          <t>推奨</t>
        </is>
      </c>
      <c r="M216" s="39" t="inlineStr">
        <is>
          <t>2人</t>
        </is>
      </c>
      <c r="N216" s="39" t="inlineStr">
        <is>
          <t>3日</t>
        </is>
      </c>
      <c r="O216" s="24" t="inlineStr"/>
      <c r="P216" s="24" t="inlineStr"/>
      <c r="Q216" s="38" t="inlineStr">
        <is>
          <t>未着手</t>
        </is>
      </c>
      <c r="R216" s="28" t="inlineStr"/>
    </row>
    <row r="217" outlineLevel="1">
      <c r="A217" s="42" t="inlineStr">
        <is>
          <t>P5-09-03</t>
        </is>
      </c>
      <c r="B217" s="42" t="inlineStr">
        <is>
          <t>P5</t>
        </is>
      </c>
      <c r="C217" s="43" t="inlineStr">
        <is>
          <t>結婚式</t>
        </is>
      </c>
      <c r="D217" s="42" t="n">
        <v>3</v>
      </c>
      <c r="E217" s="44" t="inlineStr">
        <is>
          <t>タキシード・紋付の試着と決定</t>
        </is>
      </c>
      <c r="F217" s="45" t="inlineStr">
        <is>
          <t>決まっている</t>
        </is>
      </c>
      <c r="G217" s="45" t="inlineStr"/>
      <c r="H217" s="45" t="inlineStr"/>
      <c r="I217" s="45" t="inlineStr"/>
      <c r="J217" s="42" t="n">
        <v>16</v>
      </c>
      <c r="K217" s="46">
        <f>EDATE('はじめに'!$C$5,J217)</f>
        <v/>
      </c>
      <c r="L217" s="42" t="inlineStr">
        <is>
          <t>推奨</t>
        </is>
      </c>
      <c r="M217" s="42" t="inlineStr">
        <is>
          <t>2人</t>
        </is>
      </c>
      <c r="N217" s="42" t="inlineStr">
        <is>
          <t>半日</t>
        </is>
      </c>
      <c r="O217" s="45" t="inlineStr"/>
      <c r="P217" s="45" t="inlineStr"/>
      <c r="Q217" s="38" t="inlineStr">
        <is>
          <t>未着手</t>
        </is>
      </c>
      <c r="R217" s="28" t="inlineStr"/>
    </row>
    <row r="218" outlineLevel="1">
      <c r="A218" s="39" t="inlineStr">
        <is>
          <t>P5-09-04</t>
        </is>
      </c>
      <c r="B218" s="39" t="inlineStr">
        <is>
          <t>P5</t>
        </is>
      </c>
      <c r="C218" s="22" t="inlineStr">
        <is>
          <t>結婚式</t>
        </is>
      </c>
      <c r="D218" s="39" t="n">
        <v>3</v>
      </c>
      <c r="E218" s="40" t="inlineStr">
        <is>
          <t>小物（ベール・靴・アクセサリー・インナー）を決める</t>
        </is>
      </c>
      <c r="F218" s="24" t="inlineStr">
        <is>
          <t>全部揃っている</t>
        </is>
      </c>
      <c r="G218" s="24" t="inlineStr"/>
      <c r="H218" s="24" t="inlineStr"/>
      <c r="I218" s="24" t="inlineStr"/>
      <c r="J218" s="39" t="n">
        <v>17</v>
      </c>
      <c r="K218" s="41">
        <f>EDATE('はじめに'!$C$5,J218)</f>
        <v/>
      </c>
      <c r="L218" s="39" t="inlineStr">
        <is>
          <t>推奨</t>
        </is>
      </c>
      <c r="M218" s="39" t="inlineStr">
        <is>
          <t>2人</t>
        </is>
      </c>
      <c r="N218" s="39" t="inlineStr">
        <is>
          <t>半日</t>
        </is>
      </c>
      <c r="O218" s="24" t="inlineStr"/>
      <c r="P218" s="24" t="inlineStr"/>
      <c r="Q218" s="38" t="inlineStr">
        <is>
          <t>未着手</t>
        </is>
      </c>
      <c r="R218" s="28" t="inlineStr"/>
    </row>
    <row r="219" outlineLevel="1">
      <c r="A219" s="42" t="inlineStr">
        <is>
          <t>P5-09-05</t>
        </is>
      </c>
      <c r="B219" s="42" t="inlineStr">
        <is>
          <t>P5</t>
        </is>
      </c>
      <c r="C219" s="43" t="inlineStr">
        <is>
          <t>結婚式</t>
        </is>
      </c>
      <c r="D219" s="42" t="n">
        <v>3</v>
      </c>
      <c r="E219" s="44" t="inlineStr">
        <is>
          <t>親族・両親の衣装を確認する</t>
        </is>
      </c>
      <c r="F219" s="45" t="inlineStr">
        <is>
          <t>両家の服装が揃っている</t>
        </is>
      </c>
      <c r="G219" s="45" t="inlineStr"/>
      <c r="H219" s="45" t="inlineStr"/>
      <c r="I219" s="45" t="inlineStr"/>
      <c r="J219" s="42" t="n">
        <v>17</v>
      </c>
      <c r="K219" s="46">
        <f>EDATE('はじめに'!$C$5,J219)</f>
        <v/>
      </c>
      <c r="L219" s="42" t="inlineStr">
        <is>
          <t>任意</t>
        </is>
      </c>
      <c r="M219" s="42" t="inlineStr">
        <is>
          <t>2人</t>
        </is>
      </c>
      <c r="N219" s="42" t="inlineStr">
        <is>
          <t>1時間</t>
        </is>
      </c>
      <c r="O219" s="45" t="inlineStr"/>
      <c r="P219" s="45" t="inlineStr"/>
      <c r="Q219" s="38" t="inlineStr">
        <is>
          <t>未着手</t>
        </is>
      </c>
      <c r="R219" s="28" t="inlineStr"/>
    </row>
    <row r="220">
      <c r="A220" s="33" t="inlineStr">
        <is>
          <t>P5-10</t>
        </is>
      </c>
      <c r="B220" s="33" t="inlineStr">
        <is>
          <t>P5</t>
        </is>
      </c>
      <c r="C220" s="34" t="inlineStr">
        <is>
          <t>結婚式</t>
        </is>
      </c>
      <c r="D220" s="33" t="n">
        <v>2</v>
      </c>
      <c r="E220" s="35" t="inlineStr">
        <is>
          <t>写真・映像を手配する</t>
        </is>
      </c>
      <c r="F220" s="36" t="inlineStr">
        <is>
          <t>カメラマンとプランが確定している</t>
        </is>
      </c>
      <c r="G220" s="36" t="inlineStr">
        <is>
          <t>提携カメラマンか外注か、前撮りをするか</t>
        </is>
      </c>
      <c r="H220" s="36" t="inlineStr">
        <is>
          <t>会場提携／外部カメラマン（ラヴィファクトリー、Photorait、CRAZY WEDDING）／前撮り・後撮り／ムービーは自作 or 外注</t>
        </is>
      </c>
      <c r="I220" s="36" t="inlineStr">
        <is>
          <t>一番後悔が残りやすい項目。外注は持ち込み料がかかることがある。データの納品形式と枚数、納期を必ず確認する</t>
        </is>
      </c>
      <c r="J220" s="33" t="n">
        <v>16</v>
      </c>
      <c r="K220" s="37">
        <f>EDATE('はじめに'!$C$5,J220)</f>
        <v/>
      </c>
      <c r="L220" s="33" t="inlineStr">
        <is>
          <t>推奨</t>
        </is>
      </c>
      <c r="M220" s="33" t="inlineStr">
        <is>
          <t>2人</t>
        </is>
      </c>
      <c r="N220" s="33" t="inlineStr">
        <is>
          <t>1ヶ月</t>
        </is>
      </c>
      <c r="O220" s="36" t="inlineStr">
        <is>
          <t>15〜40万円</t>
        </is>
      </c>
      <c r="P220" s="36" t="inlineStr">
        <is>
          <t>会場の成約</t>
        </is>
      </c>
      <c r="Q220" s="38" t="inlineStr">
        <is>
          <t>未着手</t>
        </is>
      </c>
      <c r="R220" s="28" t="inlineStr"/>
    </row>
    <row r="221" outlineLevel="1">
      <c r="A221" s="42" t="inlineStr">
        <is>
          <t>P5-10-01</t>
        </is>
      </c>
      <c r="B221" s="42" t="inlineStr">
        <is>
          <t>P5</t>
        </is>
      </c>
      <c r="C221" s="43" t="inlineStr">
        <is>
          <t>結婚式</t>
        </is>
      </c>
      <c r="D221" s="42" t="n">
        <v>3</v>
      </c>
      <c r="E221" s="44" t="inlineStr">
        <is>
          <t>提携と外注の見積を比較する（持ち込み料込みで）</t>
        </is>
      </c>
      <c r="F221" s="45" t="inlineStr">
        <is>
          <t>総額で比較できている</t>
        </is>
      </c>
      <c r="G221" s="45" t="inlineStr"/>
      <c r="H221" s="45" t="inlineStr"/>
      <c r="I221" s="45" t="inlineStr"/>
      <c r="J221" s="42" t="n">
        <v>16</v>
      </c>
      <c r="K221" s="46">
        <f>EDATE('はじめに'!$C$5,J221)</f>
        <v/>
      </c>
      <c r="L221" s="42" t="inlineStr">
        <is>
          <t>推奨</t>
        </is>
      </c>
      <c r="M221" s="42" t="inlineStr">
        <is>
          <t>2人</t>
        </is>
      </c>
      <c r="N221" s="42" t="inlineStr">
        <is>
          <t>2時間</t>
        </is>
      </c>
      <c r="O221" s="45" t="inlineStr"/>
      <c r="P221" s="45" t="inlineStr"/>
      <c r="Q221" s="38" t="inlineStr">
        <is>
          <t>未着手</t>
        </is>
      </c>
      <c r="R221" s="28" t="inlineStr"/>
    </row>
    <row r="222" outlineLevel="1">
      <c r="A222" s="39" t="inlineStr">
        <is>
          <t>P5-10-02</t>
        </is>
      </c>
      <c r="B222" s="39" t="inlineStr">
        <is>
          <t>P5</t>
        </is>
      </c>
      <c r="C222" s="22" t="inlineStr">
        <is>
          <t>結婚式</t>
        </is>
      </c>
      <c r="D222" s="39" t="n">
        <v>3</v>
      </c>
      <c r="E222" s="40" t="inlineStr">
        <is>
          <t>スナップ写真・記録映像・エンドロールの要否を決める</t>
        </is>
      </c>
      <c r="F222" s="24" t="inlineStr">
        <is>
          <t>発注内容が決まっている</t>
        </is>
      </c>
      <c r="G222" s="24" t="inlineStr"/>
      <c r="H222" s="24" t="inlineStr"/>
      <c r="I222" s="24" t="inlineStr"/>
      <c r="J222" s="39" t="n">
        <v>16</v>
      </c>
      <c r="K222" s="41">
        <f>EDATE('はじめに'!$C$5,J222)</f>
        <v/>
      </c>
      <c r="L222" s="39" t="inlineStr">
        <is>
          <t>推奨</t>
        </is>
      </c>
      <c r="M222" s="39" t="inlineStr">
        <is>
          <t>2人</t>
        </is>
      </c>
      <c r="N222" s="39" t="inlineStr">
        <is>
          <t>1時間</t>
        </is>
      </c>
      <c r="O222" s="24" t="inlineStr"/>
      <c r="P222" s="24" t="inlineStr"/>
      <c r="Q222" s="38" t="inlineStr">
        <is>
          <t>未着手</t>
        </is>
      </c>
      <c r="R222" s="28" t="inlineStr"/>
    </row>
    <row r="223" outlineLevel="1">
      <c r="A223" s="42" t="inlineStr">
        <is>
          <t>P5-10-03</t>
        </is>
      </c>
      <c r="B223" s="42" t="inlineStr">
        <is>
          <t>P5</t>
        </is>
      </c>
      <c r="C223" s="43" t="inlineStr">
        <is>
          <t>結婚式</t>
        </is>
      </c>
      <c r="D223" s="42" t="n">
        <v>3</v>
      </c>
      <c r="E223" s="44" t="inlineStr">
        <is>
          <t>前撮りをするか決め、するなら予約する</t>
        </is>
      </c>
      <c r="F223" s="45" t="inlineStr">
        <is>
          <t>予約済み</t>
        </is>
      </c>
      <c r="G223" s="45" t="inlineStr"/>
      <c r="H223" s="45" t="inlineStr"/>
      <c r="I223" s="45" t="inlineStr"/>
      <c r="J223" s="42" t="n">
        <v>16</v>
      </c>
      <c r="K223" s="46">
        <f>EDATE('はじめに'!$C$5,J223)</f>
        <v/>
      </c>
      <c r="L223" s="42" t="inlineStr">
        <is>
          <t>任意</t>
        </is>
      </c>
      <c r="M223" s="42" t="inlineStr">
        <is>
          <t>2人</t>
        </is>
      </c>
      <c r="N223" s="42" t="inlineStr">
        <is>
          <t>2時間</t>
        </is>
      </c>
      <c r="O223" s="45" t="inlineStr"/>
      <c r="P223" s="45" t="inlineStr"/>
      <c r="Q223" s="38" t="inlineStr">
        <is>
          <t>未着手</t>
        </is>
      </c>
      <c r="R223" s="28" t="inlineStr"/>
    </row>
    <row r="224" outlineLevel="1">
      <c r="A224" s="39" t="inlineStr">
        <is>
          <t>P5-10-04</t>
        </is>
      </c>
      <c r="B224" s="39" t="inlineStr">
        <is>
          <t>P5</t>
        </is>
      </c>
      <c r="C224" s="22" t="inlineStr">
        <is>
          <t>結婚式</t>
        </is>
      </c>
      <c r="D224" s="39" t="n">
        <v>3</v>
      </c>
      <c r="E224" s="40" t="inlineStr">
        <is>
          <t>プロフィールムービーの素材（幼少期の写真）を親から集める</t>
        </is>
      </c>
      <c r="F224" s="24" t="inlineStr">
        <is>
          <t>素材が揃っている</t>
        </is>
      </c>
      <c r="G224" s="24" t="inlineStr"/>
      <c r="H224" s="24" t="inlineStr"/>
      <c r="I224" s="24" t="inlineStr"/>
      <c r="J224" s="39" t="n">
        <v>17</v>
      </c>
      <c r="K224" s="41">
        <f>EDATE('はじめに'!$C$5,J224)</f>
        <v/>
      </c>
      <c r="L224" s="39" t="inlineStr">
        <is>
          <t>任意</t>
        </is>
      </c>
      <c r="M224" s="39" t="inlineStr">
        <is>
          <t>2人</t>
        </is>
      </c>
      <c r="N224" s="39" t="inlineStr">
        <is>
          <t>2週間</t>
        </is>
      </c>
      <c r="O224" s="24" t="inlineStr"/>
      <c r="P224" s="24" t="inlineStr"/>
      <c r="Q224" s="38" t="inlineStr">
        <is>
          <t>未着手</t>
        </is>
      </c>
      <c r="R224" s="28" t="inlineStr"/>
    </row>
    <row r="225">
      <c r="A225" s="33" t="inlineStr">
        <is>
          <t>P5-11</t>
        </is>
      </c>
      <c r="B225" s="33" t="inlineStr">
        <is>
          <t>P5</t>
        </is>
      </c>
      <c r="C225" s="34" t="inlineStr">
        <is>
          <t>結婚式</t>
        </is>
      </c>
      <c r="D225" s="33" t="n">
        <v>2</v>
      </c>
      <c r="E225" s="35" t="inlineStr">
        <is>
          <t>招待状を作成・発送する</t>
        </is>
      </c>
      <c r="F225" s="36" t="inlineStr">
        <is>
          <t>発送が完了し、返信の集計が始まっている</t>
        </is>
      </c>
      <c r="G225" s="36" t="inlineStr">
        <is>
          <t>紙かWebか</t>
        </is>
      </c>
      <c r="H225" s="36" t="inlineStr">
        <is>
          <t>会場提携／自作／Web招待状（DEAR、Weddingday、楽々WEB招待状）</t>
        </is>
      </c>
      <c r="I225" s="36" t="inlineStr">
        <is>
          <t>Web招待状は無料〜数千円で、出欠管理と住所収集が自動化できる。親族には紙、友人にはWebという併用も一般的</t>
        </is>
      </c>
      <c r="J225" s="33" t="n">
        <v>17</v>
      </c>
      <c r="K225" s="37">
        <f>EDATE('はじめに'!$C$5,J225)</f>
        <v/>
      </c>
      <c r="L225" s="33" t="inlineStr">
        <is>
          <t>推奨</t>
        </is>
      </c>
      <c r="M225" s="33" t="inlineStr">
        <is>
          <t>2人</t>
        </is>
      </c>
      <c r="N225" s="33" t="inlineStr">
        <is>
          <t>1ヶ月</t>
        </is>
      </c>
      <c r="O225" s="36" t="inlineStr">
        <is>
          <t>0〜8万円</t>
        </is>
      </c>
      <c r="P225" s="36" t="inlineStr">
        <is>
          <t>招待客リストの確定</t>
        </is>
      </c>
      <c r="Q225" s="38" t="inlineStr">
        <is>
          <t>未着手</t>
        </is>
      </c>
      <c r="R225" s="28" t="inlineStr"/>
    </row>
    <row r="226" outlineLevel="1">
      <c r="A226" s="39" t="inlineStr">
        <is>
          <t>P5-11-01</t>
        </is>
      </c>
      <c r="B226" s="39" t="inlineStr">
        <is>
          <t>P5</t>
        </is>
      </c>
      <c r="C226" s="22" t="inlineStr">
        <is>
          <t>結婚式</t>
        </is>
      </c>
      <c r="D226" s="39" t="n">
        <v>3</v>
      </c>
      <c r="E226" s="40" t="inlineStr">
        <is>
          <t>形式を決める（紙／Web／併用）</t>
        </is>
      </c>
      <c r="F226" s="24" t="inlineStr">
        <is>
          <t>形式が決まっている</t>
        </is>
      </c>
      <c r="G226" s="24" t="inlineStr"/>
      <c r="H226" s="24" t="inlineStr"/>
      <c r="I226" s="24" t="inlineStr"/>
      <c r="J226" s="39" t="n">
        <v>17</v>
      </c>
      <c r="K226" s="41">
        <f>EDATE('はじめに'!$C$5,J226)</f>
        <v/>
      </c>
      <c r="L226" s="39" t="inlineStr">
        <is>
          <t>推奨</t>
        </is>
      </c>
      <c r="M226" s="39" t="inlineStr">
        <is>
          <t>2人</t>
        </is>
      </c>
      <c r="N226" s="39" t="inlineStr">
        <is>
          <t>30分</t>
        </is>
      </c>
      <c r="O226" s="24" t="inlineStr"/>
      <c r="P226" s="24" t="inlineStr"/>
      <c r="Q226" s="38" t="inlineStr">
        <is>
          <t>未着手</t>
        </is>
      </c>
      <c r="R226" s="28" t="inlineStr"/>
    </row>
    <row r="227" outlineLevel="1">
      <c r="A227" s="42" t="inlineStr">
        <is>
          <t>P5-11-02</t>
        </is>
      </c>
      <c r="B227" s="42" t="inlineStr">
        <is>
          <t>P5</t>
        </is>
      </c>
      <c r="C227" s="43" t="inlineStr">
        <is>
          <t>結婚式</t>
        </is>
      </c>
      <c r="D227" s="42" t="n">
        <v>3</v>
      </c>
      <c r="E227" s="44" t="inlineStr">
        <is>
          <t>文面・差出人（本人名／親名）を決める</t>
        </is>
      </c>
      <c r="F227" s="45" t="inlineStr">
        <is>
          <t>文面が確定している</t>
        </is>
      </c>
      <c r="G227" s="45" t="inlineStr"/>
      <c r="H227" s="45" t="inlineStr"/>
      <c r="I227" s="45" t="inlineStr"/>
      <c r="J227" s="42" t="n">
        <v>17</v>
      </c>
      <c r="K227" s="46">
        <f>EDATE('はじめに'!$C$5,J227)</f>
        <v/>
      </c>
      <c r="L227" s="42" t="inlineStr">
        <is>
          <t>推奨</t>
        </is>
      </c>
      <c r="M227" s="42" t="inlineStr">
        <is>
          <t>2人</t>
        </is>
      </c>
      <c r="N227" s="42" t="inlineStr">
        <is>
          <t>1時間</t>
        </is>
      </c>
      <c r="O227" s="45" t="inlineStr"/>
      <c r="P227" s="45" t="inlineStr"/>
      <c r="Q227" s="38" t="inlineStr">
        <is>
          <t>未着手</t>
        </is>
      </c>
      <c r="R227" s="28" t="inlineStr"/>
    </row>
    <row r="228" outlineLevel="1">
      <c r="A228" s="39" t="inlineStr">
        <is>
          <t>P5-11-03</t>
        </is>
      </c>
      <c r="B228" s="39" t="inlineStr">
        <is>
          <t>P5</t>
        </is>
      </c>
      <c r="C228" s="22" t="inlineStr">
        <is>
          <t>結婚式</t>
        </is>
      </c>
      <c r="D228" s="39" t="n">
        <v>3</v>
      </c>
      <c r="E228" s="40" t="inlineStr">
        <is>
          <t>宛名書き・封入・投函（式の2〜3ヶ月前に発送、1ヶ月前に返信期限）</t>
        </is>
      </c>
      <c r="F228" s="24" t="inlineStr">
        <is>
          <t>発送完了</t>
        </is>
      </c>
      <c r="G228" s="24" t="inlineStr"/>
      <c r="H228" s="24" t="inlineStr"/>
      <c r="I228" s="24" t="inlineStr"/>
      <c r="J228" s="39" t="n">
        <v>17</v>
      </c>
      <c r="K228" s="41">
        <f>EDATE('はじめに'!$C$5,J228)</f>
        <v/>
      </c>
      <c r="L228" s="39" t="inlineStr">
        <is>
          <t>推奨</t>
        </is>
      </c>
      <c r="M228" s="39" t="inlineStr">
        <is>
          <t>2人</t>
        </is>
      </c>
      <c r="N228" s="39" t="inlineStr">
        <is>
          <t>1日</t>
        </is>
      </c>
      <c r="O228" s="24" t="inlineStr"/>
      <c r="P228" s="24" t="inlineStr"/>
      <c r="Q228" s="38" t="inlineStr">
        <is>
          <t>未着手</t>
        </is>
      </c>
      <c r="R228" s="28" t="inlineStr"/>
    </row>
    <row r="229" outlineLevel="1">
      <c r="A229" s="42" t="inlineStr">
        <is>
          <t>P5-11-04</t>
        </is>
      </c>
      <c r="B229" s="42" t="inlineStr">
        <is>
          <t>P5</t>
        </is>
      </c>
      <c r="C229" s="43" t="inlineStr">
        <is>
          <t>結婚式</t>
        </is>
      </c>
      <c r="D229" s="42" t="n">
        <v>3</v>
      </c>
      <c r="E229" s="44" t="inlineStr">
        <is>
          <t>返信を集計し、未返信者に催促する</t>
        </is>
      </c>
      <c r="F229" s="45" t="inlineStr">
        <is>
          <t>全員の出欠が確定している</t>
        </is>
      </c>
      <c r="G229" s="45" t="inlineStr"/>
      <c r="H229" s="45" t="inlineStr"/>
      <c r="I229" s="45" t="inlineStr"/>
      <c r="J229" s="42" t="n">
        <v>18</v>
      </c>
      <c r="K229" s="46">
        <f>EDATE('はじめに'!$C$5,J229)</f>
        <v/>
      </c>
      <c r="L229" s="42" t="inlineStr">
        <is>
          <t>推奨</t>
        </is>
      </c>
      <c r="M229" s="42" t="inlineStr">
        <is>
          <t>2人</t>
        </is>
      </c>
      <c r="N229" s="42" t="inlineStr">
        <is>
          <t>2週間</t>
        </is>
      </c>
      <c r="O229" s="45" t="inlineStr"/>
      <c r="P229" s="45" t="inlineStr"/>
      <c r="Q229" s="38" t="inlineStr">
        <is>
          <t>未着手</t>
        </is>
      </c>
      <c r="R229" s="28" t="inlineStr"/>
    </row>
    <row r="230">
      <c r="A230" s="33" t="inlineStr">
        <is>
          <t>P5-12</t>
        </is>
      </c>
      <c r="B230" s="33" t="inlineStr">
        <is>
          <t>P5</t>
        </is>
      </c>
      <c r="C230" s="34" t="inlineStr">
        <is>
          <t>結婚式</t>
        </is>
      </c>
      <c r="D230" s="33" t="n">
        <v>2</v>
      </c>
      <c r="E230" s="35" t="inlineStr">
        <is>
          <t>引き出物・引菓子を決める</t>
        </is>
      </c>
      <c r="F230" s="36" t="inlineStr">
        <is>
          <t>品目と数量が確定している</t>
        </is>
      </c>
      <c r="G230" s="36" t="inlineStr">
        <is>
          <t>誰に何を渡すか（贈り分けをするか）</t>
        </is>
      </c>
      <c r="H230" s="36" t="inlineStr">
        <is>
          <t>カタログギフト／記念品／地域の慣習品（縁起物）</t>
        </is>
      </c>
      <c r="I230" s="36" t="inlineStr">
        <is>
          <t>親族と友人で分ける「贈り分け」が一般的。地域によって品数の慣習が違う（関西は3品など）ので親に確認する</t>
        </is>
      </c>
      <c r="J230" s="33" t="n">
        <v>18</v>
      </c>
      <c r="K230" s="37">
        <f>EDATE('はじめに'!$C$5,J230)</f>
        <v/>
      </c>
      <c r="L230" s="33" t="inlineStr">
        <is>
          <t>推奨</t>
        </is>
      </c>
      <c r="M230" s="33" t="inlineStr">
        <is>
          <t>2人</t>
        </is>
      </c>
      <c r="N230" s="33" t="inlineStr">
        <is>
          <t>2週間</t>
        </is>
      </c>
      <c r="O230" s="36" t="inlineStr">
        <is>
          <t>1人5,000〜8,000円</t>
        </is>
      </c>
      <c r="P230" s="36" t="inlineStr">
        <is>
          <t>招待客リストの確定</t>
        </is>
      </c>
      <c r="Q230" s="38" t="inlineStr">
        <is>
          <t>未着手</t>
        </is>
      </c>
      <c r="R230" s="28" t="inlineStr"/>
    </row>
    <row r="231" outlineLevel="1">
      <c r="A231" s="42" t="inlineStr">
        <is>
          <t>P5-12-01</t>
        </is>
      </c>
      <c r="B231" s="42" t="inlineStr">
        <is>
          <t>P5</t>
        </is>
      </c>
      <c r="C231" s="43" t="inlineStr">
        <is>
          <t>結婚式</t>
        </is>
      </c>
      <c r="D231" s="42" t="n">
        <v>3</v>
      </c>
      <c r="E231" s="44" t="inlineStr">
        <is>
          <t>地域の慣習を各自が自分の実親に確認する</t>
        </is>
      </c>
      <c r="F231" s="45" t="inlineStr">
        <is>
          <t>慣習が分かっている</t>
        </is>
      </c>
      <c r="G231" s="45" t="inlineStr"/>
      <c r="H231" s="45" t="inlineStr"/>
      <c r="I231" s="45" t="inlineStr"/>
      <c r="J231" s="42" t="n">
        <v>18</v>
      </c>
      <c r="K231" s="46">
        <f>EDATE('はじめに'!$C$5,J231)</f>
        <v/>
      </c>
      <c r="L231" s="42" t="inlineStr">
        <is>
          <t>推奨</t>
        </is>
      </c>
      <c r="M231" s="42" t="inlineStr">
        <is>
          <t>2人</t>
        </is>
      </c>
      <c r="N231" s="42" t="inlineStr">
        <is>
          <t>30分</t>
        </is>
      </c>
      <c r="O231" s="45" t="inlineStr"/>
      <c r="P231" s="45" t="inlineStr"/>
      <c r="Q231" s="38" t="inlineStr">
        <is>
          <t>未着手</t>
        </is>
      </c>
      <c r="R231" s="28" t="inlineStr"/>
    </row>
    <row r="232" outlineLevel="1">
      <c r="A232" s="39" t="inlineStr">
        <is>
          <t>P5-12-02</t>
        </is>
      </c>
      <c r="B232" s="39" t="inlineStr">
        <is>
          <t>P5</t>
        </is>
      </c>
      <c r="C232" s="22" t="inlineStr">
        <is>
          <t>結婚式</t>
        </is>
      </c>
      <c r="D232" s="39" t="n">
        <v>3</v>
      </c>
      <c r="E232" s="40" t="inlineStr">
        <is>
          <t>贈り分けの区分を決める（親族／上司／友人）</t>
        </is>
      </c>
      <c r="F232" s="24" t="inlineStr">
        <is>
          <t>区分が決まっている</t>
        </is>
      </c>
      <c r="G232" s="24" t="inlineStr"/>
      <c r="H232" s="24" t="inlineStr"/>
      <c r="I232" s="24" t="inlineStr"/>
      <c r="J232" s="39" t="n">
        <v>18</v>
      </c>
      <c r="K232" s="41">
        <f>EDATE('はじめに'!$C$5,J232)</f>
        <v/>
      </c>
      <c r="L232" s="39" t="inlineStr">
        <is>
          <t>推奨</t>
        </is>
      </c>
      <c r="M232" s="39" t="inlineStr">
        <is>
          <t>2人</t>
        </is>
      </c>
      <c r="N232" s="39" t="inlineStr">
        <is>
          <t>30分</t>
        </is>
      </c>
      <c r="O232" s="24" t="inlineStr"/>
      <c r="P232" s="24" t="inlineStr"/>
      <c r="Q232" s="38" t="inlineStr">
        <is>
          <t>未着手</t>
        </is>
      </c>
      <c r="R232" s="28" t="inlineStr"/>
    </row>
    <row r="233" outlineLevel="1">
      <c r="A233" s="42" t="inlineStr">
        <is>
          <t>P5-12-03</t>
        </is>
      </c>
      <c r="B233" s="42" t="inlineStr">
        <is>
          <t>P5</t>
        </is>
      </c>
      <c r="C233" s="43" t="inlineStr">
        <is>
          <t>結婚式</t>
        </is>
      </c>
      <c r="D233" s="42" t="n">
        <v>3</v>
      </c>
      <c r="E233" s="44" t="inlineStr">
        <is>
          <t>品目を決めて発注する</t>
        </is>
      </c>
      <c r="F233" s="45" t="inlineStr">
        <is>
          <t>発注済み</t>
        </is>
      </c>
      <c r="G233" s="45" t="inlineStr"/>
      <c r="H233" s="45" t="inlineStr"/>
      <c r="I233" s="45" t="inlineStr"/>
      <c r="J233" s="42" t="n">
        <v>18</v>
      </c>
      <c r="K233" s="46">
        <f>EDATE('はじめに'!$C$5,J233)</f>
        <v/>
      </c>
      <c r="L233" s="42" t="inlineStr">
        <is>
          <t>推奨</t>
        </is>
      </c>
      <c r="M233" s="42" t="inlineStr">
        <is>
          <t>2人</t>
        </is>
      </c>
      <c r="N233" s="42" t="inlineStr">
        <is>
          <t>2時間</t>
        </is>
      </c>
      <c r="O233" s="45" t="inlineStr"/>
      <c r="P233" s="45" t="inlineStr"/>
      <c r="Q233" s="38" t="inlineStr">
        <is>
          <t>未着手</t>
        </is>
      </c>
      <c r="R233" s="28" t="inlineStr"/>
    </row>
    <row r="234">
      <c r="A234" s="33" t="inlineStr">
        <is>
          <t>P5-13</t>
        </is>
      </c>
      <c r="B234" s="33" t="inlineStr">
        <is>
          <t>P5</t>
        </is>
      </c>
      <c r="C234" s="34" t="inlineStr">
        <is>
          <t>結婚式</t>
        </is>
      </c>
      <c r="D234" s="33" t="n">
        <v>2</v>
      </c>
      <c r="E234" s="35" t="inlineStr">
        <is>
          <t>席次表・席札・進行表を作成する</t>
        </is>
      </c>
      <c r="F234" s="36" t="inlineStr">
        <is>
          <t>席次が確定し、印刷物が発注済み</t>
        </is>
      </c>
      <c r="G234" s="36" t="inlineStr">
        <is>
          <t>上座下座と肩書きの表記をどうするか</t>
        </is>
      </c>
      <c r="H234" s="36" t="inlineStr"/>
      <c r="I234" s="36" t="inlineStr">
        <is>
          <t>親に確認しないと事故る（親族の序列、肩書きの書き方、旧姓の扱い）。離婚・再婚など家族構成の配慮も必要</t>
        </is>
      </c>
      <c r="J234" s="33" t="n">
        <v>19</v>
      </c>
      <c r="K234" s="37">
        <f>EDATE('はじめに'!$C$5,J234)</f>
        <v/>
      </c>
      <c r="L234" s="33" t="inlineStr">
        <is>
          <t>推奨</t>
        </is>
      </c>
      <c r="M234" s="33" t="inlineStr">
        <is>
          <t>2人</t>
        </is>
      </c>
      <c r="N234" s="33" t="inlineStr">
        <is>
          <t>2週間</t>
        </is>
      </c>
      <c r="O234" s="36" t="inlineStr"/>
      <c r="P234" s="36" t="inlineStr">
        <is>
          <t>招待状の返信集計</t>
        </is>
      </c>
      <c r="Q234" s="38" t="inlineStr">
        <is>
          <t>未着手</t>
        </is>
      </c>
      <c r="R234" s="28" t="inlineStr"/>
    </row>
    <row r="235" outlineLevel="1">
      <c r="A235" s="42" t="inlineStr">
        <is>
          <t>P5-13-01</t>
        </is>
      </c>
      <c r="B235" s="42" t="inlineStr">
        <is>
          <t>P5</t>
        </is>
      </c>
      <c r="C235" s="43" t="inlineStr">
        <is>
          <t>結婚式</t>
        </is>
      </c>
      <c r="D235" s="42" t="n">
        <v>3</v>
      </c>
      <c r="E235" s="44" t="inlineStr">
        <is>
          <t>席次を組む（上座下座、関係性、テーブルのバランス）</t>
        </is>
      </c>
      <c r="F235" s="45" t="inlineStr">
        <is>
          <t>席次案ができている</t>
        </is>
      </c>
      <c r="G235" s="45" t="inlineStr"/>
      <c r="H235" s="45" t="inlineStr"/>
      <c r="I235" s="45" t="inlineStr"/>
      <c r="J235" s="42" t="n">
        <v>19</v>
      </c>
      <c r="K235" s="46">
        <f>EDATE('はじめに'!$C$5,J235)</f>
        <v/>
      </c>
      <c r="L235" s="42" t="inlineStr">
        <is>
          <t>推奨</t>
        </is>
      </c>
      <c r="M235" s="42" t="inlineStr">
        <is>
          <t>2人</t>
        </is>
      </c>
      <c r="N235" s="42" t="inlineStr">
        <is>
          <t>3時間</t>
        </is>
      </c>
      <c r="O235" s="45" t="inlineStr"/>
      <c r="P235" s="45" t="inlineStr"/>
      <c r="Q235" s="38" t="inlineStr">
        <is>
          <t>未着手</t>
        </is>
      </c>
      <c r="R235" s="28" t="inlineStr"/>
    </row>
    <row r="236" outlineLevel="1">
      <c r="A236" s="39" t="inlineStr">
        <is>
          <t>P5-13-02</t>
        </is>
      </c>
      <c r="B236" s="39" t="inlineStr">
        <is>
          <t>P5</t>
        </is>
      </c>
      <c r="C236" s="22" t="inlineStr">
        <is>
          <t>結婚式</t>
        </is>
      </c>
      <c r="D236" s="39" t="n">
        <v>3</v>
      </c>
      <c r="E236" s="40" t="inlineStr">
        <is>
          <t>肩書きの表記を各自が自分の実親と確認する</t>
        </is>
      </c>
      <c r="F236" s="24" t="inlineStr">
        <is>
          <t>表記が確定している</t>
        </is>
      </c>
      <c r="G236" s="24" t="inlineStr"/>
      <c r="H236" s="24" t="inlineStr"/>
      <c r="I236" s="24" t="inlineStr"/>
      <c r="J236" s="39" t="n">
        <v>19</v>
      </c>
      <c r="K236" s="41">
        <f>EDATE('はじめに'!$C$5,J236)</f>
        <v/>
      </c>
      <c r="L236" s="39" t="inlineStr">
        <is>
          <t>推奨</t>
        </is>
      </c>
      <c r="M236" s="39" t="inlineStr">
        <is>
          <t>2人</t>
        </is>
      </c>
      <c r="N236" s="39" t="inlineStr">
        <is>
          <t>1時間</t>
        </is>
      </c>
      <c r="O236" s="24" t="inlineStr"/>
      <c r="P236" s="24" t="inlineStr"/>
      <c r="Q236" s="38" t="inlineStr">
        <is>
          <t>未着手</t>
        </is>
      </c>
      <c r="R236" s="28" t="inlineStr"/>
    </row>
    <row r="237" outlineLevel="1">
      <c r="A237" s="42" t="inlineStr">
        <is>
          <t>P5-13-03</t>
        </is>
      </c>
      <c r="B237" s="42" t="inlineStr">
        <is>
          <t>P5</t>
        </is>
      </c>
      <c r="C237" s="43" t="inlineStr">
        <is>
          <t>結婚式</t>
        </is>
      </c>
      <c r="D237" s="42" t="n">
        <v>3</v>
      </c>
      <c r="E237" s="44" t="inlineStr">
        <is>
          <t>席次表・席札・メニュー表を発注する</t>
        </is>
      </c>
      <c r="F237" s="45" t="inlineStr">
        <is>
          <t>発注済み</t>
        </is>
      </c>
      <c r="G237" s="45" t="inlineStr"/>
      <c r="H237" s="45" t="inlineStr"/>
      <c r="I237" s="45" t="inlineStr"/>
      <c r="J237" s="42" t="n">
        <v>19</v>
      </c>
      <c r="K237" s="46">
        <f>EDATE('はじめに'!$C$5,J237)</f>
        <v/>
      </c>
      <c r="L237" s="42" t="inlineStr">
        <is>
          <t>推奨</t>
        </is>
      </c>
      <c r="M237" s="42" t="inlineStr">
        <is>
          <t>2人</t>
        </is>
      </c>
      <c r="N237" s="42" t="inlineStr">
        <is>
          <t>2時間</t>
        </is>
      </c>
      <c r="O237" s="45" t="inlineStr"/>
      <c r="P237" s="45" t="inlineStr"/>
      <c r="Q237" s="38" t="inlineStr">
        <is>
          <t>未着手</t>
        </is>
      </c>
      <c r="R237" s="28" t="inlineStr"/>
    </row>
    <row r="238" outlineLevel="1">
      <c r="A238" s="39" t="inlineStr">
        <is>
          <t>P5-13-04</t>
        </is>
      </c>
      <c r="B238" s="39" t="inlineStr">
        <is>
          <t>P5</t>
        </is>
      </c>
      <c r="C238" s="22" t="inlineStr">
        <is>
          <t>結婚式</t>
        </is>
      </c>
      <c r="D238" s="39" t="n">
        <v>3</v>
      </c>
      <c r="E238" s="40" t="inlineStr">
        <is>
          <t>当日の進行表（タイムテーブル）を会場と確定する</t>
        </is>
      </c>
      <c r="F238" s="24" t="inlineStr">
        <is>
          <t>進行表が確定している</t>
        </is>
      </c>
      <c r="G238" s="24" t="inlineStr"/>
      <c r="H238" s="24" t="inlineStr"/>
      <c r="I238" s="24" t="inlineStr"/>
      <c r="J238" s="39" t="n">
        <v>20</v>
      </c>
      <c r="K238" s="41">
        <f>EDATE('はじめに'!$C$5,J238)</f>
        <v/>
      </c>
      <c r="L238" s="39" t="inlineStr">
        <is>
          <t>推奨</t>
        </is>
      </c>
      <c r="M238" s="39" t="inlineStr">
        <is>
          <t>2人</t>
        </is>
      </c>
      <c r="N238" s="39" t="inlineStr">
        <is>
          <t>2時間</t>
        </is>
      </c>
      <c r="O238" s="24" t="inlineStr"/>
      <c r="P238" s="24" t="inlineStr"/>
      <c r="Q238" s="38" t="inlineStr">
        <is>
          <t>未着手</t>
        </is>
      </c>
      <c r="R238" s="28" t="inlineStr"/>
    </row>
    <row r="239">
      <c r="A239" s="33" t="inlineStr">
        <is>
          <t>P5-14</t>
        </is>
      </c>
      <c r="B239" s="33" t="inlineStr">
        <is>
          <t>P5</t>
        </is>
      </c>
      <c r="C239" s="34" t="inlineStr">
        <is>
          <t>結婚式</t>
        </is>
      </c>
      <c r="D239" s="33" t="n">
        <v>2</v>
      </c>
      <c r="E239" s="35" t="inlineStr">
        <is>
          <t>演出・BGM・余興を決める</t>
        </is>
      </c>
      <c r="F239" s="36" t="inlineStr">
        <is>
          <t>演出内容とBGMリストが確定している</t>
        </is>
      </c>
      <c r="G239" s="36" t="inlineStr"/>
      <c r="H239" s="36" t="inlineStr"/>
      <c r="I239" s="36" t="inlineStr"/>
      <c r="J239" s="33" t="n">
        <v>19</v>
      </c>
      <c r="K239" s="37">
        <f>EDATE('はじめに'!$C$5,J239)</f>
        <v/>
      </c>
      <c r="L239" s="33" t="inlineStr">
        <is>
          <t>任意</t>
        </is>
      </c>
      <c r="M239" s="33" t="inlineStr">
        <is>
          <t>2人</t>
        </is>
      </c>
      <c r="N239" s="33" t="inlineStr">
        <is>
          <t>3週間</t>
        </is>
      </c>
      <c r="O239" s="36" t="inlineStr"/>
      <c r="P239" s="36" t="inlineStr">
        <is>
          <t>会場の成約</t>
        </is>
      </c>
      <c r="Q239" s="38" t="inlineStr">
        <is>
          <t>未着手</t>
        </is>
      </c>
      <c r="R239" s="28" t="inlineStr"/>
    </row>
    <row r="240" outlineLevel="1">
      <c r="A240" s="39" t="inlineStr">
        <is>
          <t>P5-14-01</t>
        </is>
      </c>
      <c r="B240" s="39" t="inlineStr">
        <is>
          <t>P5</t>
        </is>
      </c>
      <c r="C240" s="22" t="inlineStr">
        <is>
          <t>結婚式</t>
        </is>
      </c>
      <c r="D240" s="39" t="n">
        <v>3</v>
      </c>
      <c r="E240" s="40" t="inlineStr">
        <is>
          <t>演出（ケーキ入刀・花束贈呈・サプライズ）を決める</t>
        </is>
      </c>
      <c r="F240" s="24" t="inlineStr">
        <is>
          <t>内容が決まっている</t>
        </is>
      </c>
      <c r="G240" s="24" t="inlineStr"/>
      <c r="H240" s="24" t="inlineStr"/>
      <c r="I240" s="24" t="inlineStr"/>
      <c r="J240" s="39" t="n">
        <v>19</v>
      </c>
      <c r="K240" s="41">
        <f>EDATE('はじめに'!$C$5,J240)</f>
        <v/>
      </c>
      <c r="L240" s="39" t="inlineStr">
        <is>
          <t>任意</t>
        </is>
      </c>
      <c r="M240" s="39" t="inlineStr">
        <is>
          <t>2人</t>
        </is>
      </c>
      <c r="N240" s="39" t="inlineStr">
        <is>
          <t>2時間</t>
        </is>
      </c>
      <c r="O240" s="24" t="inlineStr"/>
      <c r="P240" s="24" t="inlineStr"/>
      <c r="Q240" s="38" t="inlineStr">
        <is>
          <t>未着手</t>
        </is>
      </c>
      <c r="R240" s="28" t="inlineStr"/>
    </row>
    <row r="241" outlineLevel="1">
      <c r="A241" s="42" t="inlineStr">
        <is>
          <t>P5-14-02</t>
        </is>
      </c>
      <c r="B241" s="42" t="inlineStr">
        <is>
          <t>P5</t>
        </is>
      </c>
      <c r="C241" s="43" t="inlineStr">
        <is>
          <t>結婚式</t>
        </is>
      </c>
      <c r="D241" s="42" t="n">
        <v>3</v>
      </c>
      <c r="E241" s="44" t="inlineStr">
        <is>
          <t>BGMを選曲してリストを提出する（著作権の扱いを会場に確認）</t>
        </is>
      </c>
      <c r="F241" s="45" t="inlineStr">
        <is>
          <t>BGMリストが提出済み</t>
        </is>
      </c>
      <c r="G241" s="45" t="inlineStr"/>
      <c r="H241" s="45" t="inlineStr"/>
      <c r="I241" s="45" t="inlineStr"/>
      <c r="J241" s="42" t="n">
        <v>19</v>
      </c>
      <c r="K241" s="46">
        <f>EDATE('はじめに'!$C$5,J241)</f>
        <v/>
      </c>
      <c r="L241" s="42" t="inlineStr">
        <is>
          <t>任意</t>
        </is>
      </c>
      <c r="M241" s="42" t="inlineStr">
        <is>
          <t>2人</t>
        </is>
      </c>
      <c r="N241" s="42" t="inlineStr">
        <is>
          <t>3時間</t>
        </is>
      </c>
      <c r="O241" s="45" t="inlineStr"/>
      <c r="P241" s="45" t="inlineStr"/>
      <c r="Q241" s="38" t="inlineStr">
        <is>
          <t>未着手</t>
        </is>
      </c>
      <c r="R241" s="28" t="inlineStr"/>
    </row>
    <row r="242" outlineLevel="1">
      <c r="A242" s="39" t="inlineStr">
        <is>
          <t>P5-14-03</t>
        </is>
      </c>
      <c r="B242" s="39" t="inlineStr">
        <is>
          <t>P5</t>
        </is>
      </c>
      <c r="C242" s="22" t="inlineStr">
        <is>
          <t>結婚式</t>
        </is>
      </c>
      <c r="D242" s="39" t="n">
        <v>3</v>
      </c>
      <c r="E242" s="40" t="inlineStr">
        <is>
          <t>余興を頼む場合は3ヶ月前までに依頼する</t>
        </is>
      </c>
      <c r="F242" s="24" t="inlineStr">
        <is>
          <t>依頼済み</t>
        </is>
      </c>
      <c r="G242" s="24" t="inlineStr"/>
      <c r="H242" s="24" t="inlineStr"/>
      <c r="I242" s="24" t="inlineStr"/>
      <c r="J242" s="39" t="n">
        <v>18</v>
      </c>
      <c r="K242" s="41">
        <f>EDATE('はじめに'!$C$5,J242)</f>
        <v/>
      </c>
      <c r="L242" s="39" t="inlineStr">
        <is>
          <t>任意</t>
        </is>
      </c>
      <c r="M242" s="39" t="inlineStr">
        <is>
          <t>2人</t>
        </is>
      </c>
      <c r="N242" s="39" t="inlineStr">
        <is>
          <t>1時間</t>
        </is>
      </c>
      <c r="O242" s="24" t="inlineStr"/>
      <c r="P242" s="24" t="inlineStr"/>
      <c r="Q242" s="38" t="inlineStr">
        <is>
          <t>未着手</t>
        </is>
      </c>
      <c r="R242" s="28" t="inlineStr"/>
    </row>
    <row r="243" outlineLevel="1">
      <c r="A243" s="42" t="inlineStr">
        <is>
          <t>P5-14-04</t>
        </is>
      </c>
      <c r="B243" s="42" t="inlineStr">
        <is>
          <t>P5</t>
        </is>
      </c>
      <c r="C243" s="43" t="inlineStr">
        <is>
          <t>結婚式</t>
        </is>
      </c>
      <c r="D243" s="42" t="n">
        <v>3</v>
      </c>
      <c r="E243" s="44" t="inlineStr">
        <is>
          <t>花嫁の手紙・謝辞を書く</t>
        </is>
      </c>
      <c r="F243" s="45" t="inlineStr">
        <is>
          <t>原稿ができている</t>
        </is>
      </c>
      <c r="G243" s="45" t="inlineStr"/>
      <c r="H243" s="45" t="inlineStr"/>
      <c r="I243" s="45" t="inlineStr"/>
      <c r="J243" s="42" t="n">
        <v>20</v>
      </c>
      <c r="K243" s="46">
        <f>EDATE('はじめに'!$C$5,J243)</f>
        <v/>
      </c>
      <c r="L243" s="42" t="inlineStr">
        <is>
          <t>任意</t>
        </is>
      </c>
      <c r="M243" s="42" t="inlineStr">
        <is>
          <t>2人</t>
        </is>
      </c>
      <c r="N243" s="42" t="inlineStr">
        <is>
          <t>3時間</t>
        </is>
      </c>
      <c r="O243" s="45" t="inlineStr"/>
      <c r="P243" s="45" t="inlineStr"/>
      <c r="Q243" s="38" t="inlineStr">
        <is>
          <t>未着手</t>
        </is>
      </c>
      <c r="R243" s="28" t="inlineStr"/>
    </row>
    <row r="244">
      <c r="A244" s="33" t="inlineStr">
        <is>
          <t>P5-15</t>
        </is>
      </c>
      <c r="B244" s="33" t="inlineStr">
        <is>
          <t>P5</t>
        </is>
      </c>
      <c r="C244" s="34" t="inlineStr">
        <is>
          <t>結婚式</t>
        </is>
      </c>
      <c r="D244" s="33" t="n">
        <v>2</v>
      </c>
      <c r="E244" s="35" t="inlineStr">
        <is>
          <t>ヘアメイクのリハーサルを行う</t>
        </is>
      </c>
      <c r="F244" s="36" t="inlineStr">
        <is>
          <t>当日のヘアメイクが決まっている</t>
        </is>
      </c>
      <c r="G244" s="36" t="inlineStr"/>
      <c r="H244" s="36" t="inlineStr"/>
      <c r="I244" s="36" t="inlineStr"/>
      <c r="J244" s="33" t="n">
        <v>19</v>
      </c>
      <c r="K244" s="37">
        <f>EDATE('はじめに'!$C$5,J244)</f>
        <v/>
      </c>
      <c r="L244" s="33" t="inlineStr">
        <is>
          <t>推奨</t>
        </is>
      </c>
      <c r="M244" s="33" t="inlineStr">
        <is>
          <t>妊娠する側</t>
        </is>
      </c>
      <c r="N244" s="33" t="inlineStr">
        <is>
          <t>半日</t>
        </is>
      </c>
      <c r="O244" s="36" t="inlineStr">
        <is>
          <t>1〜3万円</t>
        </is>
      </c>
      <c r="P244" s="36" t="inlineStr">
        <is>
          <t>衣装の決定</t>
        </is>
      </c>
      <c r="Q244" s="38" t="inlineStr">
        <is>
          <t>未着手</t>
        </is>
      </c>
      <c r="R244" s="28" t="inlineStr"/>
    </row>
    <row r="245" outlineLevel="1">
      <c r="A245" s="42" t="inlineStr">
        <is>
          <t>P5-15-01</t>
        </is>
      </c>
      <c r="B245" s="42" t="inlineStr">
        <is>
          <t>P5</t>
        </is>
      </c>
      <c r="C245" s="43" t="inlineStr">
        <is>
          <t>結婚式</t>
        </is>
      </c>
      <c r="D245" s="42" t="n">
        <v>3</v>
      </c>
      <c r="E245" s="44" t="inlineStr">
        <is>
          <t>リハーサルを予約する（有料のことが多い）</t>
        </is>
      </c>
      <c r="F245" s="45" t="inlineStr">
        <is>
          <t>予約済み</t>
        </is>
      </c>
      <c r="G245" s="45" t="inlineStr"/>
      <c r="H245" s="45" t="inlineStr"/>
      <c r="I245" s="45" t="inlineStr"/>
      <c r="J245" s="42" t="n">
        <v>19</v>
      </c>
      <c r="K245" s="46">
        <f>EDATE('はじめに'!$C$5,J245)</f>
        <v/>
      </c>
      <c r="L245" s="42" t="inlineStr">
        <is>
          <t>推奨</t>
        </is>
      </c>
      <c r="M245" s="42" t="inlineStr">
        <is>
          <t>どちらか</t>
        </is>
      </c>
      <c r="N245" s="42" t="inlineStr">
        <is>
          <t>30分</t>
        </is>
      </c>
      <c r="O245" s="45" t="inlineStr"/>
      <c r="P245" s="45" t="inlineStr"/>
      <c r="Q245" s="38" t="inlineStr">
        <is>
          <t>未着手</t>
        </is>
      </c>
      <c r="R245" s="28" t="inlineStr"/>
    </row>
    <row r="246" outlineLevel="1">
      <c r="A246" s="39" t="inlineStr">
        <is>
          <t>P5-15-02</t>
        </is>
      </c>
      <c r="B246" s="39" t="inlineStr">
        <is>
          <t>P5</t>
        </is>
      </c>
      <c r="C246" s="22" t="inlineStr">
        <is>
          <t>結婚式</t>
        </is>
      </c>
      <c r="D246" s="39" t="n">
        <v>3</v>
      </c>
      <c r="E246" s="40" t="inlineStr">
        <is>
          <t>リハーサルを実施し、写真を撮って記録する</t>
        </is>
      </c>
      <c r="F246" s="24" t="inlineStr">
        <is>
          <t>イメージが共有できている</t>
        </is>
      </c>
      <c r="G246" s="24" t="inlineStr"/>
      <c r="H246" s="24" t="inlineStr"/>
      <c r="I246" s="24" t="inlineStr"/>
      <c r="J246" s="39" t="n">
        <v>19</v>
      </c>
      <c r="K246" s="41">
        <f>EDATE('はじめに'!$C$5,J246)</f>
        <v/>
      </c>
      <c r="L246" s="39" t="inlineStr">
        <is>
          <t>推奨</t>
        </is>
      </c>
      <c r="M246" s="39" t="inlineStr">
        <is>
          <t>妊娠する側</t>
        </is>
      </c>
      <c r="N246" s="39" t="inlineStr">
        <is>
          <t>3時間</t>
        </is>
      </c>
      <c r="O246" s="24" t="inlineStr"/>
      <c r="P246" s="24" t="inlineStr"/>
      <c r="Q246" s="38" t="inlineStr">
        <is>
          <t>未着手</t>
        </is>
      </c>
      <c r="R246" s="28" t="inlineStr"/>
    </row>
    <row r="247">
      <c r="A247" s="33" t="inlineStr">
        <is>
          <t>P5-16</t>
        </is>
      </c>
      <c r="B247" s="33" t="inlineStr">
        <is>
          <t>P5</t>
        </is>
      </c>
      <c r="C247" s="34" t="inlineStr">
        <is>
          <t>結婚式</t>
        </is>
      </c>
      <c r="D247" s="33" t="n">
        <v>2</v>
      </c>
      <c r="E247" s="35" t="inlineStr">
        <is>
          <t>遠方ゲストの宿泊・交通・お車代を手配する</t>
        </is>
      </c>
      <c r="F247" s="36" t="inlineStr">
        <is>
          <t>宿泊と交通の手配が済み、お車代の金額が決まっている</t>
        </is>
      </c>
      <c r="G247" s="36" t="inlineStr"/>
      <c r="H247" s="36" t="inlineStr"/>
      <c r="I247" s="36" t="inlineStr"/>
      <c r="J247" s="33" t="n">
        <v>20</v>
      </c>
      <c r="K247" s="37">
        <f>EDATE('はじめに'!$C$5,J247)</f>
        <v/>
      </c>
      <c r="L247" s="33" t="inlineStr">
        <is>
          <t>推奨</t>
        </is>
      </c>
      <c r="M247" s="33" t="inlineStr">
        <is>
          <t>2人</t>
        </is>
      </c>
      <c r="N247" s="33" t="inlineStr">
        <is>
          <t>2週間</t>
        </is>
      </c>
      <c r="O247" s="36" t="inlineStr">
        <is>
          <t>5〜20万円</t>
        </is>
      </c>
      <c r="P247" s="36" t="inlineStr">
        <is>
          <t>招待状の返信集計</t>
        </is>
      </c>
      <c r="Q247" s="38" t="inlineStr">
        <is>
          <t>未着手</t>
        </is>
      </c>
      <c r="R247" s="28" t="inlineStr"/>
    </row>
    <row r="248" outlineLevel="1">
      <c r="A248" s="39" t="inlineStr">
        <is>
          <t>P5-16-01</t>
        </is>
      </c>
      <c r="B248" s="39" t="inlineStr">
        <is>
          <t>P5</t>
        </is>
      </c>
      <c r="C248" s="22" t="inlineStr">
        <is>
          <t>結婚式</t>
        </is>
      </c>
      <c r="D248" s="39" t="n">
        <v>3</v>
      </c>
      <c r="E248" s="40" t="inlineStr">
        <is>
          <t>遠方ゲストを特定し、交通費の負担方針を決める（半額／全額／宿泊のみ）</t>
        </is>
      </c>
      <c r="F248" s="24" t="inlineStr">
        <is>
          <t>方針が決まっている</t>
        </is>
      </c>
      <c r="G248" s="24" t="inlineStr"/>
      <c r="H248" s="24" t="inlineStr"/>
      <c r="I248" s="24" t="inlineStr"/>
      <c r="J248" s="39" t="n">
        <v>20</v>
      </c>
      <c r="K248" s="41">
        <f>EDATE('はじめに'!$C$5,J248)</f>
        <v/>
      </c>
      <c r="L248" s="39" t="inlineStr">
        <is>
          <t>推奨</t>
        </is>
      </c>
      <c r="M248" s="39" t="inlineStr">
        <is>
          <t>2人</t>
        </is>
      </c>
      <c r="N248" s="39" t="inlineStr">
        <is>
          <t>1時間</t>
        </is>
      </c>
      <c r="O248" s="24" t="inlineStr"/>
      <c r="P248" s="24" t="inlineStr"/>
      <c r="Q248" s="38" t="inlineStr">
        <is>
          <t>未着手</t>
        </is>
      </c>
      <c r="R248" s="28" t="inlineStr"/>
    </row>
    <row r="249" outlineLevel="1">
      <c r="A249" s="42" t="inlineStr">
        <is>
          <t>P5-16-02</t>
        </is>
      </c>
      <c r="B249" s="42" t="inlineStr">
        <is>
          <t>P5</t>
        </is>
      </c>
      <c r="C249" s="43" t="inlineStr">
        <is>
          <t>結婚式</t>
        </is>
      </c>
      <c r="D249" s="42" t="n">
        <v>3</v>
      </c>
      <c r="E249" s="44" t="inlineStr">
        <is>
          <t>宿泊を手配する</t>
        </is>
      </c>
      <c r="F249" s="45" t="inlineStr">
        <is>
          <t>予約済み</t>
        </is>
      </c>
      <c r="G249" s="45" t="inlineStr"/>
      <c r="H249" s="45" t="inlineStr"/>
      <c r="I249" s="45" t="inlineStr"/>
      <c r="J249" s="42" t="n">
        <v>20</v>
      </c>
      <c r="K249" s="46">
        <f>EDATE('はじめに'!$C$5,J249)</f>
        <v/>
      </c>
      <c r="L249" s="42" t="inlineStr">
        <is>
          <t>推奨</t>
        </is>
      </c>
      <c r="M249" s="42" t="inlineStr">
        <is>
          <t>どちらか</t>
        </is>
      </c>
      <c r="N249" s="42" t="inlineStr">
        <is>
          <t>2時間</t>
        </is>
      </c>
      <c r="O249" s="45" t="inlineStr"/>
      <c r="P249" s="45" t="inlineStr"/>
      <c r="Q249" s="38" t="inlineStr">
        <is>
          <t>未着手</t>
        </is>
      </c>
      <c r="R249" s="28" t="inlineStr"/>
    </row>
    <row r="250" outlineLevel="1">
      <c r="A250" s="39" t="inlineStr">
        <is>
          <t>P5-16-03</t>
        </is>
      </c>
      <c r="B250" s="39" t="inlineStr">
        <is>
          <t>P5</t>
        </is>
      </c>
      <c r="C250" s="22" t="inlineStr">
        <is>
          <t>結婚式</t>
        </is>
      </c>
      <c r="D250" s="39" t="n">
        <v>3</v>
      </c>
      <c r="E250" s="40" t="inlineStr">
        <is>
          <t>お車代・お礼・心付けの金額と封筒を準備する</t>
        </is>
      </c>
      <c r="F250" s="24" t="inlineStr">
        <is>
          <t>封筒が全て用意できている</t>
        </is>
      </c>
      <c r="G250" s="24" t="inlineStr"/>
      <c r="H250" s="24" t="inlineStr"/>
      <c r="I250" s="24" t="inlineStr"/>
      <c r="J250" s="39" t="n">
        <v>20</v>
      </c>
      <c r="K250" s="41">
        <f>EDATE('はじめに'!$C$5,J250)</f>
        <v/>
      </c>
      <c r="L250" s="39" t="inlineStr">
        <is>
          <t>推奨</t>
        </is>
      </c>
      <c r="M250" s="39" t="inlineStr">
        <is>
          <t>2人</t>
        </is>
      </c>
      <c r="N250" s="39" t="inlineStr">
        <is>
          <t>3時間</t>
        </is>
      </c>
      <c r="O250" s="24" t="inlineStr"/>
      <c r="P250" s="24" t="inlineStr"/>
      <c r="Q250" s="38" t="inlineStr">
        <is>
          <t>未着手</t>
        </is>
      </c>
      <c r="R250" s="28" t="inlineStr"/>
    </row>
    <row r="251">
      <c r="A251" s="33" t="inlineStr">
        <is>
          <t>P5-17</t>
        </is>
      </c>
      <c r="B251" s="33" t="inlineStr">
        <is>
          <t>P5</t>
        </is>
      </c>
      <c r="C251" s="34" t="inlineStr">
        <is>
          <t>結婚式</t>
        </is>
      </c>
      <c r="D251" s="33" t="n">
        <v>2</v>
      </c>
      <c r="E251" s="35" t="inlineStr">
        <is>
          <t>準備タスクの分担表を作り、進捗を可視化する</t>
        </is>
      </c>
      <c r="F251" s="36" t="inlineStr">
        <is>
          <t>全タスクにオーナーが割り当てられ、週次で進捗を見ている</t>
        </is>
      </c>
      <c r="G251" s="36" t="inlineStr">
        <is>
          <t>どちらが何を担当するか</t>
        </is>
      </c>
      <c r="H251" s="36" t="inlineStr">
        <is>
          <t>領域ごと渡す（例：写真・BGM・二次会を丸ごと片方が持つ）／タスク単位で分ける</t>
        </is>
      </c>
      <c r="I251" s="36" t="inlineStr">
        <is>
          <t>準備の偏りは結婚式最大の関係リスク。「決めるのは2人、動くのは分担」を明文化し、片方が丸投げに見える構造を先に潰す</t>
        </is>
      </c>
      <c r="J251" s="33" t="n">
        <v>13</v>
      </c>
      <c r="K251" s="37">
        <f>EDATE('はじめに'!$C$5,J251)</f>
        <v/>
      </c>
      <c r="L251" s="33" t="inlineStr">
        <is>
          <t>推奨</t>
        </is>
      </c>
      <c r="M251" s="33" t="inlineStr">
        <is>
          <t>2人</t>
        </is>
      </c>
      <c r="N251" s="33" t="inlineStr">
        <is>
          <t>2時間</t>
        </is>
      </c>
      <c r="O251" s="36" t="inlineStr"/>
      <c r="P251" s="36" t="inlineStr">
        <is>
          <t>会場の成約</t>
        </is>
      </c>
      <c r="Q251" s="38" t="inlineStr">
        <is>
          <t>未着手</t>
        </is>
      </c>
      <c r="R251" s="28" t="inlineStr"/>
    </row>
    <row r="252" outlineLevel="1">
      <c r="A252" s="39" t="inlineStr">
        <is>
          <t>P5-17-01</t>
        </is>
      </c>
      <c r="B252" s="39" t="inlineStr">
        <is>
          <t>P5</t>
        </is>
      </c>
      <c r="C252" s="22" t="inlineStr">
        <is>
          <t>結婚式</t>
        </is>
      </c>
      <c r="D252" s="39" t="n">
        <v>3</v>
      </c>
      <c r="E252" s="40" t="inlineStr">
        <is>
          <t>準備タスクを全部書き出す（60〜100項目になる）</t>
        </is>
      </c>
      <c r="F252" s="24" t="inlineStr">
        <is>
          <t>タスク一覧ができている</t>
        </is>
      </c>
      <c r="G252" s="24" t="inlineStr"/>
      <c r="H252" s="24" t="inlineStr"/>
      <c r="I252" s="24" t="inlineStr"/>
      <c r="J252" s="39" t="n">
        <v>13</v>
      </c>
      <c r="K252" s="41">
        <f>EDATE('はじめに'!$C$5,J252)</f>
        <v/>
      </c>
      <c r="L252" s="39" t="inlineStr">
        <is>
          <t>推奨</t>
        </is>
      </c>
      <c r="M252" s="39" t="inlineStr">
        <is>
          <t>2人</t>
        </is>
      </c>
      <c r="N252" s="39" t="inlineStr">
        <is>
          <t>1時間</t>
        </is>
      </c>
      <c r="O252" s="24" t="inlineStr"/>
      <c r="P252" s="24" t="inlineStr"/>
      <c r="Q252" s="38" t="inlineStr">
        <is>
          <t>未着手</t>
        </is>
      </c>
      <c r="R252" s="28" t="inlineStr"/>
    </row>
    <row r="253" outlineLevel="1">
      <c r="A253" s="42" t="inlineStr">
        <is>
          <t>P5-17-02</t>
        </is>
      </c>
      <c r="B253" s="42" t="inlineStr">
        <is>
          <t>P5</t>
        </is>
      </c>
      <c r="C253" s="43" t="inlineStr">
        <is>
          <t>結婚式</t>
        </is>
      </c>
      <c r="D253" s="42" t="n">
        <v>3</v>
      </c>
      <c r="E253" s="44" t="inlineStr">
        <is>
          <t>領域ごとにオーナーを決める</t>
        </is>
      </c>
      <c r="F253" s="45" t="inlineStr">
        <is>
          <t>全項目に担当がついている</t>
        </is>
      </c>
      <c r="G253" s="45" t="inlineStr"/>
      <c r="H253" s="45" t="inlineStr"/>
      <c r="I253" s="45" t="inlineStr"/>
      <c r="J253" s="42" t="n">
        <v>13</v>
      </c>
      <c r="K253" s="46">
        <f>EDATE('はじめに'!$C$5,J253)</f>
        <v/>
      </c>
      <c r="L253" s="42" t="inlineStr">
        <is>
          <t>推奨</t>
        </is>
      </c>
      <c r="M253" s="42" t="inlineStr">
        <is>
          <t>2人</t>
        </is>
      </c>
      <c r="N253" s="42" t="inlineStr">
        <is>
          <t>30分</t>
        </is>
      </c>
      <c r="O253" s="45" t="inlineStr"/>
      <c r="P253" s="45" t="inlineStr"/>
      <c r="Q253" s="38" t="inlineStr">
        <is>
          <t>未着手</t>
        </is>
      </c>
      <c r="R253" s="28" t="inlineStr"/>
    </row>
    <row r="254" outlineLevel="1">
      <c r="A254" s="39" t="inlineStr">
        <is>
          <t>P5-17-03</t>
        </is>
      </c>
      <c r="B254" s="39" t="inlineStr">
        <is>
          <t>P5</t>
        </is>
      </c>
      <c r="C254" s="22" t="inlineStr">
        <is>
          <t>結婚式</t>
        </is>
      </c>
      <c r="D254" s="39" t="n">
        <v>3</v>
      </c>
      <c r="E254" s="40" t="inlineStr">
        <is>
          <t>週次ミーティングの議題に「式の準備進捗」を追加する</t>
        </is>
      </c>
      <c r="F254" s="24" t="inlineStr">
        <is>
          <t>毎週確認できている</t>
        </is>
      </c>
      <c r="G254" s="24" t="inlineStr"/>
      <c r="H254" s="24" t="inlineStr"/>
      <c r="I254" s="24" t="inlineStr"/>
      <c r="J254" s="39" t="n">
        <v>13</v>
      </c>
      <c r="K254" s="41">
        <f>EDATE('はじめに'!$C$5,J254)</f>
        <v/>
      </c>
      <c r="L254" s="39" t="inlineStr">
        <is>
          <t>推奨</t>
        </is>
      </c>
      <c r="M254" s="39" t="inlineStr">
        <is>
          <t>2人</t>
        </is>
      </c>
      <c r="N254" s="39" t="inlineStr">
        <is>
          <t>10分</t>
        </is>
      </c>
      <c r="O254" s="24" t="inlineStr"/>
      <c r="P254" s="24" t="inlineStr"/>
      <c r="Q254" s="38" t="inlineStr">
        <is>
          <t>未着手</t>
        </is>
      </c>
      <c r="R254" s="28" t="inlineStr"/>
    </row>
    <row r="255">
      <c r="A255" s="33" t="inlineStr">
        <is>
          <t>P5-18</t>
        </is>
      </c>
      <c r="B255" s="33" t="inlineStr">
        <is>
          <t>P5</t>
        </is>
      </c>
      <c r="C255" s="34" t="inlineStr">
        <is>
          <t>旅行</t>
        </is>
      </c>
      <c r="D255" s="33" t="n">
        <v>2</v>
      </c>
      <c r="E255" s="35" t="inlineStr">
        <is>
          <t>新婚旅行を計画・予約する</t>
        </is>
      </c>
      <c r="F255" s="36" t="inlineStr">
        <is>
          <t>渡航先・日程・予約が確定している</t>
        </is>
      </c>
      <c r="G255" s="36" t="inlineStr">
        <is>
          <t>妊活・妊娠と重ならないか、渡航先は安全か</t>
        </is>
      </c>
      <c r="H255" s="36" t="inlineStr">
        <is>
          <t>国内／ハワイ・グアム／ヨーロッパ／モルディブ／アジアリゾート</t>
        </is>
      </c>
      <c r="I255" s="36" t="inlineStr">
        <is>
          <t>ジカ熱の流行地域は妊活中・妊娠中は回避。妊娠中は安定期のみ、航空会社の搭乗制限（28週以降は診断書等）と海外旅行保険の妊娠関連免責を予約前に確認する</t>
        </is>
      </c>
      <c r="J255" s="33" t="n">
        <v>20</v>
      </c>
      <c r="K255" s="37">
        <f>EDATE('はじめに'!$C$5,J255)</f>
        <v/>
      </c>
      <c r="L255" s="33" t="inlineStr">
        <is>
          <t>任意</t>
        </is>
      </c>
      <c r="M255" s="33" t="inlineStr">
        <is>
          <t>2人</t>
        </is>
      </c>
      <c r="N255" s="33" t="inlineStr">
        <is>
          <t>1ヶ月</t>
        </is>
      </c>
      <c r="O255" s="36" t="inlineStr">
        <is>
          <t>40〜120万円</t>
        </is>
      </c>
      <c r="P255" s="36" t="inlineStr">
        <is>
          <t>パスポートの氏名変更</t>
        </is>
      </c>
      <c r="Q255" s="38" t="inlineStr">
        <is>
          <t>未着手</t>
        </is>
      </c>
      <c r="R255" s="28" t="inlineStr"/>
    </row>
    <row r="256" outlineLevel="1">
      <c r="A256" s="39" t="inlineStr">
        <is>
          <t>P5-18-01</t>
        </is>
      </c>
      <c r="B256" s="39" t="inlineStr">
        <is>
          <t>P5</t>
        </is>
      </c>
      <c r="C256" s="22" t="inlineStr">
        <is>
          <t>旅行</t>
        </is>
      </c>
      <c r="D256" s="39" t="n">
        <v>3</v>
      </c>
      <c r="E256" s="40" t="inlineStr">
        <is>
          <t>渡航先の候補を出し、感染症リスク（ジカ熱等）を確認する</t>
        </is>
      </c>
      <c r="F256" s="24" t="inlineStr">
        <is>
          <t>安全な候補が絞れている</t>
        </is>
      </c>
      <c r="G256" s="24" t="inlineStr"/>
      <c r="H256" s="24" t="inlineStr"/>
      <c r="I256" s="24" t="inlineStr"/>
      <c r="J256" s="39" t="n">
        <v>20</v>
      </c>
      <c r="K256" s="41">
        <f>EDATE('はじめに'!$C$5,J256)</f>
        <v/>
      </c>
      <c r="L256" s="39" t="inlineStr">
        <is>
          <t>任意</t>
        </is>
      </c>
      <c r="M256" s="39" t="inlineStr">
        <is>
          <t>2人</t>
        </is>
      </c>
      <c r="N256" s="39" t="inlineStr">
        <is>
          <t>1時間</t>
        </is>
      </c>
      <c r="O256" s="24" t="inlineStr"/>
      <c r="P256" s="24" t="inlineStr"/>
      <c r="Q256" s="38" t="inlineStr">
        <is>
          <t>未着手</t>
        </is>
      </c>
      <c r="R256" s="28" t="inlineStr"/>
    </row>
    <row r="257" outlineLevel="1">
      <c r="A257" s="42" t="inlineStr">
        <is>
          <t>P5-18-02</t>
        </is>
      </c>
      <c r="B257" s="42" t="inlineStr">
        <is>
          <t>P5</t>
        </is>
      </c>
      <c r="C257" s="43" t="inlineStr">
        <is>
          <t>旅行</t>
        </is>
      </c>
      <c r="D257" s="42" t="n">
        <v>3</v>
      </c>
      <c r="E257" s="44" t="inlineStr">
        <is>
          <t>パスポートの氏名と予約名義が一致することを確認する</t>
        </is>
      </c>
      <c r="F257" s="45" t="inlineStr">
        <is>
          <t>一致が確認できている</t>
        </is>
      </c>
      <c r="G257" s="45" t="inlineStr"/>
      <c r="H257" s="45" t="inlineStr"/>
      <c r="I257" s="45" t="inlineStr"/>
      <c r="J257" s="42" t="n">
        <v>20</v>
      </c>
      <c r="K257" s="46">
        <f>EDATE('はじめに'!$C$5,J257)</f>
        <v/>
      </c>
      <c r="L257" s="42" t="inlineStr">
        <is>
          <t>法定</t>
        </is>
      </c>
      <c r="M257" s="42" t="inlineStr">
        <is>
          <t>2人</t>
        </is>
      </c>
      <c r="N257" s="42" t="inlineStr">
        <is>
          <t>15分</t>
        </is>
      </c>
      <c r="O257" s="45" t="inlineStr"/>
      <c r="P257" s="45" t="inlineStr"/>
      <c r="Q257" s="38" t="inlineStr">
        <is>
          <t>未着手</t>
        </is>
      </c>
      <c r="R257" s="28" t="inlineStr"/>
    </row>
    <row r="258" outlineLevel="1">
      <c r="A258" s="39" t="inlineStr">
        <is>
          <t>P5-18-03</t>
        </is>
      </c>
      <c r="B258" s="39" t="inlineStr">
        <is>
          <t>P5</t>
        </is>
      </c>
      <c r="C258" s="22" t="inlineStr">
        <is>
          <t>旅行</t>
        </is>
      </c>
      <c r="D258" s="39" t="n">
        <v>3</v>
      </c>
      <c r="E258" s="40" t="inlineStr">
        <is>
          <t>航空券・宿を予約する</t>
        </is>
      </c>
      <c r="F258" s="24" t="inlineStr">
        <is>
          <t>予約完了</t>
        </is>
      </c>
      <c r="G258" s="24" t="inlineStr"/>
      <c r="H258" s="24" t="inlineStr"/>
      <c r="I258" s="24" t="inlineStr"/>
      <c r="J258" s="39" t="n">
        <v>20</v>
      </c>
      <c r="K258" s="41">
        <f>EDATE('はじめに'!$C$5,J258)</f>
        <v/>
      </c>
      <c r="L258" s="39" t="inlineStr">
        <is>
          <t>任意</t>
        </is>
      </c>
      <c r="M258" s="39" t="inlineStr">
        <is>
          <t>2人</t>
        </is>
      </c>
      <c r="N258" s="39" t="inlineStr">
        <is>
          <t>3時間</t>
        </is>
      </c>
      <c r="O258" s="24" t="inlineStr"/>
      <c r="P258" s="24" t="inlineStr"/>
      <c r="Q258" s="38" t="inlineStr">
        <is>
          <t>未着手</t>
        </is>
      </c>
      <c r="R258" s="28" t="inlineStr"/>
    </row>
    <row r="259" outlineLevel="1">
      <c r="A259" s="42" t="inlineStr">
        <is>
          <t>P5-18-04</t>
        </is>
      </c>
      <c r="B259" s="42" t="inlineStr">
        <is>
          <t>P5</t>
        </is>
      </c>
      <c r="C259" s="43" t="inlineStr">
        <is>
          <t>旅行</t>
        </is>
      </c>
      <c r="D259" s="42" t="n">
        <v>3</v>
      </c>
      <c r="E259" s="44" t="inlineStr">
        <is>
          <t>海外旅行保険に加入する（妊娠関連の免責を確認）</t>
        </is>
      </c>
      <c r="F259" s="45" t="inlineStr">
        <is>
          <t>加入済み</t>
        </is>
      </c>
      <c r="G259" s="45" t="inlineStr"/>
      <c r="H259" s="45" t="inlineStr"/>
      <c r="I259" s="45" t="inlineStr"/>
      <c r="J259" s="42" t="n">
        <v>21</v>
      </c>
      <c r="K259" s="46">
        <f>EDATE('はじめに'!$C$5,J259)</f>
        <v/>
      </c>
      <c r="L259" s="42" t="inlineStr">
        <is>
          <t>推奨</t>
        </is>
      </c>
      <c r="M259" s="42" t="inlineStr">
        <is>
          <t>2人</t>
        </is>
      </c>
      <c r="N259" s="42" t="inlineStr">
        <is>
          <t>30分</t>
        </is>
      </c>
      <c r="O259" s="45" t="inlineStr"/>
      <c r="P259" s="45" t="inlineStr"/>
      <c r="Q259" s="38" t="inlineStr">
        <is>
          <t>未着手</t>
        </is>
      </c>
      <c r="R259" s="28" t="inlineStr"/>
    </row>
    <row r="260" outlineLevel="1">
      <c r="A260" s="39" t="inlineStr">
        <is>
          <t>P5-18-05</t>
        </is>
      </c>
      <c r="B260" s="39" t="inlineStr">
        <is>
          <t>P5</t>
        </is>
      </c>
      <c r="C260" s="22" t="inlineStr">
        <is>
          <t>旅行</t>
        </is>
      </c>
      <c r="D260" s="39" t="n">
        <v>3</v>
      </c>
      <c r="E260" s="40" t="inlineStr">
        <is>
          <t>有給を申請する</t>
        </is>
      </c>
      <c r="F260" s="24" t="inlineStr">
        <is>
          <t>休みが確定している</t>
        </is>
      </c>
      <c r="G260" s="24" t="inlineStr"/>
      <c r="H260" s="24" t="inlineStr"/>
      <c r="I260" s="24" t="inlineStr"/>
      <c r="J260" s="39" t="n">
        <v>20</v>
      </c>
      <c r="K260" s="41">
        <f>EDATE('はじめに'!$C$5,J260)</f>
        <v/>
      </c>
      <c r="L260" s="39" t="inlineStr">
        <is>
          <t>推奨</t>
        </is>
      </c>
      <c r="M260" s="39" t="inlineStr">
        <is>
          <t>2人</t>
        </is>
      </c>
      <c r="N260" s="39" t="inlineStr">
        <is>
          <t>30分</t>
        </is>
      </c>
      <c r="O260" s="24" t="inlineStr"/>
      <c r="P260" s="24" t="inlineStr"/>
      <c r="Q260" s="38" t="inlineStr">
        <is>
          <t>未着手</t>
        </is>
      </c>
      <c r="R260" s="28" t="inlineStr"/>
    </row>
    <row r="261">
      <c r="A261" s="33" t="inlineStr">
        <is>
          <t>P5-19</t>
        </is>
      </c>
      <c r="B261" s="33" t="inlineStr">
        <is>
          <t>P5</t>
        </is>
      </c>
      <c r="C261" s="34" t="inlineStr">
        <is>
          <t>結婚式</t>
        </is>
      </c>
      <c r="D261" s="33" t="n">
        <v>2</v>
      </c>
      <c r="E261" s="35" t="inlineStr">
        <is>
          <t>最終打ち合わせと支払いを完了する</t>
        </is>
      </c>
      <c r="F261" s="36" t="inlineStr">
        <is>
          <t>最終人数が確定し、支払いが済んでいる</t>
        </is>
      </c>
      <c r="G261" s="36" t="inlineStr"/>
      <c r="H261" s="36" t="inlineStr"/>
      <c r="I261" s="36" t="inlineStr"/>
      <c r="J261" s="33" t="n">
        <v>20</v>
      </c>
      <c r="K261" s="37">
        <f>EDATE('はじめに'!$C$5,J261)</f>
        <v/>
      </c>
      <c r="L261" s="33" t="inlineStr">
        <is>
          <t>推奨</t>
        </is>
      </c>
      <c r="M261" s="33" t="inlineStr">
        <is>
          <t>2人</t>
        </is>
      </c>
      <c r="N261" s="33" t="inlineStr">
        <is>
          <t>2週間</t>
        </is>
      </c>
      <c r="O261" s="36" t="inlineStr"/>
      <c r="P261" s="36" t="inlineStr">
        <is>
          <t>席次表の作成</t>
        </is>
      </c>
      <c r="Q261" s="38" t="inlineStr">
        <is>
          <t>未着手</t>
        </is>
      </c>
      <c r="R261" s="28" t="inlineStr"/>
    </row>
    <row r="262" outlineLevel="1">
      <c r="A262" s="39" t="inlineStr">
        <is>
          <t>P5-19-01</t>
        </is>
      </c>
      <c r="B262" s="39" t="inlineStr">
        <is>
          <t>P5</t>
        </is>
      </c>
      <c r="C262" s="22" t="inlineStr">
        <is>
          <t>結婚式</t>
        </is>
      </c>
      <c r="D262" s="39" t="n">
        <v>3</v>
      </c>
      <c r="E262" s="40" t="inlineStr">
        <is>
          <t>最終見積を確認し、上限を超えていないか照合する</t>
        </is>
      </c>
      <c r="F262" s="24" t="inlineStr">
        <is>
          <t>予算内に収まっている</t>
        </is>
      </c>
      <c r="G262" s="24" t="inlineStr"/>
      <c r="H262" s="24" t="inlineStr"/>
      <c r="I262" s="24" t="inlineStr"/>
      <c r="J262" s="39" t="n">
        <v>20</v>
      </c>
      <c r="K262" s="41">
        <f>EDATE('はじめに'!$C$5,J262)</f>
        <v/>
      </c>
      <c r="L262" s="39" t="inlineStr">
        <is>
          <t>推奨</t>
        </is>
      </c>
      <c r="M262" s="39" t="inlineStr">
        <is>
          <t>2人</t>
        </is>
      </c>
      <c r="N262" s="39" t="inlineStr">
        <is>
          <t>2時間</t>
        </is>
      </c>
      <c r="O262" s="24" t="inlineStr"/>
      <c r="P262" s="24" t="inlineStr"/>
      <c r="Q262" s="38" t="inlineStr">
        <is>
          <t>未着手</t>
        </is>
      </c>
      <c r="R262" s="28" t="inlineStr"/>
    </row>
    <row r="263" outlineLevel="1">
      <c r="A263" s="42" t="inlineStr">
        <is>
          <t>P5-19-02</t>
        </is>
      </c>
      <c r="B263" s="42" t="inlineStr">
        <is>
          <t>P5</t>
        </is>
      </c>
      <c r="C263" s="43" t="inlineStr">
        <is>
          <t>結婚式</t>
        </is>
      </c>
      <c r="D263" s="42" t="n">
        <v>3</v>
      </c>
      <c r="E263" s="44" t="inlineStr">
        <is>
          <t>最終人数を確定する（確定後の変更はキャンセル料が発生）</t>
        </is>
      </c>
      <c r="F263" s="45" t="inlineStr">
        <is>
          <t>人数確定済み</t>
        </is>
      </c>
      <c r="G263" s="45" t="inlineStr"/>
      <c r="H263" s="45" t="inlineStr"/>
      <c r="I263" s="45" t="inlineStr"/>
      <c r="J263" s="42" t="n">
        <v>20</v>
      </c>
      <c r="K263" s="46">
        <f>EDATE('はじめに'!$C$5,J263)</f>
        <v/>
      </c>
      <c r="L263" s="42" t="inlineStr">
        <is>
          <t>推奨</t>
        </is>
      </c>
      <c r="M263" s="42" t="inlineStr">
        <is>
          <t>2人</t>
        </is>
      </c>
      <c r="N263" s="42" t="inlineStr">
        <is>
          <t>1時間</t>
        </is>
      </c>
      <c r="O263" s="45" t="inlineStr"/>
      <c r="P263" s="45" t="inlineStr"/>
      <c r="Q263" s="38" t="inlineStr">
        <is>
          <t>未着手</t>
        </is>
      </c>
      <c r="R263" s="28" t="inlineStr"/>
    </row>
    <row r="264" outlineLevel="1">
      <c r="A264" s="39" t="inlineStr">
        <is>
          <t>P5-19-03</t>
        </is>
      </c>
      <c r="B264" s="39" t="inlineStr">
        <is>
          <t>P5</t>
        </is>
      </c>
      <c r="C264" s="22" t="inlineStr">
        <is>
          <t>結婚式</t>
        </is>
      </c>
      <c r="D264" s="39" t="n">
        <v>3</v>
      </c>
      <c r="E264" s="40" t="inlineStr">
        <is>
          <t>支払いを実行する</t>
        </is>
      </c>
      <c r="F264" s="24" t="inlineStr">
        <is>
          <t>支払い完了</t>
        </is>
      </c>
      <c r="G264" s="24" t="inlineStr"/>
      <c r="H264" s="24" t="inlineStr"/>
      <c r="I264" s="24" t="inlineStr"/>
      <c r="J264" s="39" t="n">
        <v>21</v>
      </c>
      <c r="K264" s="41">
        <f>EDATE('はじめに'!$C$5,J264)</f>
        <v/>
      </c>
      <c r="L264" s="39" t="inlineStr">
        <is>
          <t>推奨</t>
        </is>
      </c>
      <c r="M264" s="39" t="inlineStr">
        <is>
          <t>2人</t>
        </is>
      </c>
      <c r="N264" s="39" t="inlineStr">
        <is>
          <t>1時間</t>
        </is>
      </c>
      <c r="O264" s="24" t="inlineStr"/>
      <c r="P264" s="24" t="inlineStr"/>
      <c r="Q264" s="38" t="inlineStr">
        <is>
          <t>未着手</t>
        </is>
      </c>
      <c r="R264" s="28" t="inlineStr"/>
    </row>
    <row r="265">
      <c r="A265" s="33" t="inlineStr">
        <is>
          <t>P6-01</t>
        </is>
      </c>
      <c r="B265" s="33" t="inlineStr">
        <is>
          <t>P6</t>
        </is>
      </c>
      <c r="C265" s="34" t="inlineStr">
        <is>
          <t>結婚式</t>
        </is>
      </c>
      <c r="D265" s="33" t="n">
        <v>2</v>
      </c>
      <c r="E265" s="35" t="inlineStr">
        <is>
          <t>前日までの準備を完了する</t>
        </is>
      </c>
      <c r="F265" s="36" t="inlineStr">
        <is>
          <t>当日の持ち物が全て1箇所にまとまっている</t>
        </is>
      </c>
      <c r="G265" s="36" t="inlineStr"/>
      <c r="H265" s="36" t="inlineStr"/>
      <c r="I265" s="36" t="inlineStr"/>
      <c r="J265" s="33" t="n">
        <v>21</v>
      </c>
      <c r="K265" s="37">
        <f>EDATE('はじめに'!$C$5,J265)</f>
        <v/>
      </c>
      <c r="L265" s="33" t="inlineStr">
        <is>
          <t>推奨</t>
        </is>
      </c>
      <c r="M265" s="33" t="inlineStr">
        <is>
          <t>2人</t>
        </is>
      </c>
      <c r="N265" s="33" t="inlineStr">
        <is>
          <t>2日</t>
        </is>
      </c>
      <c r="O265" s="36" t="inlineStr"/>
      <c r="P265" s="36" t="inlineStr">
        <is>
          <t>最終打ち合わせ</t>
        </is>
      </c>
      <c r="Q265" s="38" t="inlineStr">
        <is>
          <t>未着手</t>
        </is>
      </c>
      <c r="R265" s="28" t="inlineStr"/>
    </row>
    <row r="266" outlineLevel="1">
      <c r="A266" s="39" t="inlineStr">
        <is>
          <t>P6-01-01</t>
        </is>
      </c>
      <c r="B266" s="39" t="inlineStr">
        <is>
          <t>P6</t>
        </is>
      </c>
      <c r="C266" s="22" t="inlineStr">
        <is>
          <t>結婚式</t>
        </is>
      </c>
      <c r="D266" s="39" t="n">
        <v>3</v>
      </c>
      <c r="E266" s="40" t="inlineStr">
        <is>
          <t>持ち込み品を会場に搬入する</t>
        </is>
      </c>
      <c r="F266" s="24" t="inlineStr">
        <is>
          <t>搬入済み</t>
        </is>
      </c>
      <c r="G266" s="24" t="inlineStr"/>
      <c r="H266" s="24" t="inlineStr"/>
      <c r="I266" s="24" t="inlineStr"/>
      <c r="J266" s="39" t="n">
        <v>21</v>
      </c>
      <c r="K266" s="41">
        <f>EDATE('はじめに'!$C$5,J266)</f>
        <v/>
      </c>
      <c r="L266" s="39" t="inlineStr">
        <is>
          <t>推奨</t>
        </is>
      </c>
      <c r="M266" s="39" t="inlineStr">
        <is>
          <t>2人</t>
        </is>
      </c>
      <c r="N266" s="39" t="inlineStr">
        <is>
          <t>半日</t>
        </is>
      </c>
      <c r="O266" s="24" t="inlineStr"/>
      <c r="P266" s="24" t="inlineStr"/>
      <c r="Q266" s="38" t="inlineStr">
        <is>
          <t>未着手</t>
        </is>
      </c>
      <c r="R266" s="28" t="inlineStr"/>
    </row>
    <row r="267" outlineLevel="1">
      <c r="A267" s="42" t="inlineStr">
        <is>
          <t>P6-01-02</t>
        </is>
      </c>
      <c r="B267" s="42" t="inlineStr">
        <is>
          <t>P6</t>
        </is>
      </c>
      <c r="C267" s="43" t="inlineStr">
        <is>
          <t>結婚式</t>
        </is>
      </c>
      <c r="D267" s="42" t="n">
        <v>3</v>
      </c>
      <c r="E267" s="44" t="inlineStr">
        <is>
          <t>お車代・お礼・心付けの封筒を人別に仕分けて誰が渡すか決める</t>
        </is>
      </c>
      <c r="F267" s="45" t="inlineStr">
        <is>
          <t>渡す人と順番が決まっている</t>
        </is>
      </c>
      <c r="G267" s="45" t="inlineStr"/>
      <c r="H267" s="45" t="inlineStr"/>
      <c r="I267" s="45" t="inlineStr"/>
      <c r="J267" s="42" t="n">
        <v>21</v>
      </c>
      <c r="K267" s="46">
        <f>EDATE('はじめに'!$C$5,J267)</f>
        <v/>
      </c>
      <c r="L267" s="42" t="inlineStr">
        <is>
          <t>推奨</t>
        </is>
      </c>
      <c r="M267" s="42" t="inlineStr">
        <is>
          <t>2人</t>
        </is>
      </c>
      <c r="N267" s="42" t="inlineStr">
        <is>
          <t>2時間</t>
        </is>
      </c>
      <c r="O267" s="45" t="inlineStr"/>
      <c r="P267" s="45" t="inlineStr"/>
      <c r="Q267" s="38" t="inlineStr">
        <is>
          <t>未着手</t>
        </is>
      </c>
      <c r="R267" s="28" t="inlineStr"/>
    </row>
    <row r="268" outlineLevel="1">
      <c r="A268" s="39" t="inlineStr">
        <is>
          <t>P6-01-03</t>
        </is>
      </c>
      <c r="B268" s="39" t="inlineStr">
        <is>
          <t>P6</t>
        </is>
      </c>
      <c r="C268" s="22" t="inlineStr">
        <is>
          <t>結婚式</t>
        </is>
      </c>
      <c r="D268" s="39" t="n">
        <v>3</v>
      </c>
      <c r="E268" s="40" t="inlineStr">
        <is>
          <t>当日の持ち物リストを作り、荷造りする</t>
        </is>
      </c>
      <c r="F268" s="24" t="inlineStr">
        <is>
          <t>荷物が完成している</t>
        </is>
      </c>
      <c r="G268" s="24" t="inlineStr"/>
      <c r="H268" s="24" t="inlineStr"/>
      <c r="I268" s="24" t="inlineStr"/>
      <c r="J268" s="39" t="n">
        <v>21</v>
      </c>
      <c r="K268" s="41">
        <f>EDATE('はじめに'!$C$5,J268)</f>
        <v/>
      </c>
      <c r="L268" s="39" t="inlineStr">
        <is>
          <t>推奨</t>
        </is>
      </c>
      <c r="M268" s="39" t="inlineStr">
        <is>
          <t>2人</t>
        </is>
      </c>
      <c r="N268" s="39" t="inlineStr">
        <is>
          <t>2時間</t>
        </is>
      </c>
      <c r="O268" s="24" t="inlineStr"/>
      <c r="P268" s="24" t="inlineStr"/>
      <c r="Q268" s="38" t="inlineStr">
        <is>
          <t>未着手</t>
        </is>
      </c>
      <c r="R268" s="28" t="inlineStr"/>
    </row>
    <row r="269" outlineLevel="1">
      <c r="A269" s="42" t="inlineStr">
        <is>
          <t>P6-01-04</t>
        </is>
      </c>
      <c r="B269" s="42" t="inlineStr">
        <is>
          <t>P6</t>
        </is>
      </c>
      <c r="C269" s="43" t="inlineStr">
        <is>
          <t>結婚式</t>
        </is>
      </c>
      <c r="D269" s="42" t="n">
        <v>3</v>
      </c>
      <c r="E269" s="44" t="inlineStr">
        <is>
          <t>早めに就寝する（前日の喧嘩は疲労が原因のことが多い）</t>
        </is>
      </c>
      <c r="F269" s="45" t="inlineStr">
        <is>
          <t>睡眠が取れている</t>
        </is>
      </c>
      <c r="G269" s="45" t="inlineStr"/>
      <c r="H269" s="45" t="inlineStr"/>
      <c r="I269" s="45" t="inlineStr"/>
      <c r="J269" s="42" t="n">
        <v>21</v>
      </c>
      <c r="K269" s="46">
        <f>EDATE('はじめに'!$C$5,J269)</f>
        <v/>
      </c>
      <c r="L269" s="42" t="inlineStr">
        <is>
          <t>推奨</t>
        </is>
      </c>
      <c r="M269" s="42" t="inlineStr">
        <is>
          <t>2人</t>
        </is>
      </c>
      <c r="N269" s="42" t="inlineStr">
        <is>
          <t>-</t>
        </is>
      </c>
      <c r="O269" s="45" t="inlineStr"/>
      <c r="P269" s="45" t="inlineStr"/>
      <c r="Q269" s="38" t="inlineStr">
        <is>
          <t>未着手</t>
        </is>
      </c>
      <c r="R269" s="28" t="inlineStr"/>
    </row>
    <row r="270">
      <c r="A270" s="33" t="inlineStr">
        <is>
          <t>P6-02</t>
        </is>
      </c>
      <c r="B270" s="33" t="inlineStr">
        <is>
          <t>P6</t>
        </is>
      </c>
      <c r="C270" s="34" t="inlineStr">
        <is>
          <t>結婚式</t>
        </is>
      </c>
      <c r="D270" s="33" t="n">
        <v>2</v>
      </c>
      <c r="E270" s="35" t="inlineStr">
        <is>
          <t>挙式・披露宴を実施する</t>
        </is>
      </c>
      <c r="F270" s="36" t="inlineStr">
        <is>
          <t>式が完了している</t>
        </is>
      </c>
      <c r="G270" s="36" t="inlineStr"/>
      <c r="H270" s="36" t="inlineStr"/>
      <c r="I270" s="36" t="inlineStr"/>
      <c r="J270" s="33" t="n">
        <v>21</v>
      </c>
      <c r="K270" s="37">
        <f>EDATE('はじめに'!$C$5,J270)</f>
        <v/>
      </c>
      <c r="L270" s="33" t="inlineStr">
        <is>
          <t>推奨</t>
        </is>
      </c>
      <c r="M270" s="33" t="inlineStr">
        <is>
          <t>2人</t>
        </is>
      </c>
      <c r="N270" s="33" t="inlineStr">
        <is>
          <t>1日</t>
        </is>
      </c>
      <c r="O270" s="36" t="inlineStr"/>
      <c r="P270" s="36" t="inlineStr">
        <is>
          <t>前日準備</t>
        </is>
      </c>
      <c r="Q270" s="38" t="inlineStr">
        <is>
          <t>未着手</t>
        </is>
      </c>
      <c r="R270" s="28" t="inlineStr"/>
    </row>
    <row r="271" outlineLevel="1">
      <c r="A271" s="42" t="inlineStr">
        <is>
          <t>P6-02-01</t>
        </is>
      </c>
      <c r="B271" s="42" t="inlineStr">
        <is>
          <t>P6</t>
        </is>
      </c>
      <c r="C271" s="43" t="inlineStr">
        <is>
          <t>結婚式</t>
        </is>
      </c>
      <c r="D271" s="42" t="n">
        <v>3</v>
      </c>
      <c r="E271" s="44" t="inlineStr">
        <is>
          <t>受付・司会・親族の集合時間を前日に再確認する</t>
        </is>
      </c>
      <c r="F271" s="45" t="inlineStr">
        <is>
          <t>全員の集合時間が共有されている</t>
        </is>
      </c>
      <c r="G271" s="45" t="inlineStr"/>
      <c r="H271" s="45" t="inlineStr"/>
      <c r="I271" s="45" t="inlineStr"/>
      <c r="J271" s="42" t="n">
        <v>21</v>
      </c>
      <c r="K271" s="46">
        <f>EDATE('はじめに'!$C$5,J271)</f>
        <v/>
      </c>
      <c r="L271" s="42" t="inlineStr">
        <is>
          <t>推奨</t>
        </is>
      </c>
      <c r="M271" s="42" t="inlineStr">
        <is>
          <t>2人</t>
        </is>
      </c>
      <c r="N271" s="42" t="inlineStr">
        <is>
          <t>30分</t>
        </is>
      </c>
      <c r="O271" s="45" t="inlineStr"/>
      <c r="P271" s="45" t="inlineStr"/>
      <c r="Q271" s="38" t="inlineStr">
        <is>
          <t>未着手</t>
        </is>
      </c>
      <c r="R271" s="28" t="inlineStr"/>
    </row>
    <row r="272" outlineLevel="1">
      <c r="A272" s="39" t="inlineStr">
        <is>
          <t>P6-02-02</t>
        </is>
      </c>
      <c r="B272" s="39" t="inlineStr">
        <is>
          <t>P6</t>
        </is>
      </c>
      <c r="C272" s="22" t="inlineStr">
        <is>
          <t>結婚式</t>
        </is>
      </c>
      <c r="D272" s="39" t="n">
        <v>3</v>
      </c>
      <c r="E272" s="40" t="inlineStr">
        <is>
          <t>ご祝儀の管理を信頼できる人に依頼する</t>
        </is>
      </c>
      <c r="F272" s="24" t="inlineStr">
        <is>
          <t>受付担当が決まり、お礼も用意している</t>
        </is>
      </c>
      <c r="G272" s="24" t="inlineStr"/>
      <c r="H272" s="24" t="inlineStr"/>
      <c r="I272" s="24" t="inlineStr"/>
      <c r="J272" s="39" t="n">
        <v>21</v>
      </c>
      <c r="K272" s="41">
        <f>EDATE('はじめに'!$C$5,J272)</f>
        <v/>
      </c>
      <c r="L272" s="39" t="inlineStr">
        <is>
          <t>推奨</t>
        </is>
      </c>
      <c r="M272" s="39" t="inlineStr">
        <is>
          <t>2人</t>
        </is>
      </c>
      <c r="N272" s="39" t="inlineStr">
        <is>
          <t>30分</t>
        </is>
      </c>
      <c r="O272" s="24" t="inlineStr"/>
      <c r="P272" s="24" t="inlineStr"/>
      <c r="Q272" s="38" t="inlineStr">
        <is>
          <t>未着手</t>
        </is>
      </c>
      <c r="R272" s="28" t="inlineStr"/>
    </row>
    <row r="273" outlineLevel="1">
      <c r="A273" s="42" t="inlineStr">
        <is>
          <t>P6-02-03</t>
        </is>
      </c>
      <c r="B273" s="42" t="inlineStr">
        <is>
          <t>P6</t>
        </is>
      </c>
      <c r="C273" s="43" t="inlineStr">
        <is>
          <t>結婚式</t>
        </is>
      </c>
      <c r="D273" s="42" t="n">
        <v>3</v>
      </c>
      <c r="E273" s="44" t="inlineStr">
        <is>
          <t>挙式・披露宴</t>
        </is>
      </c>
      <c r="F273" s="45" t="inlineStr">
        <is>
          <t>実施完了</t>
        </is>
      </c>
      <c r="G273" s="45" t="inlineStr"/>
      <c r="H273" s="45" t="inlineStr"/>
      <c r="I273" s="45" t="inlineStr"/>
      <c r="J273" s="42" t="n">
        <v>21</v>
      </c>
      <c r="K273" s="46">
        <f>EDATE('はじめに'!$C$5,J273)</f>
        <v/>
      </c>
      <c r="L273" s="42" t="inlineStr">
        <is>
          <t>推奨</t>
        </is>
      </c>
      <c r="M273" s="42" t="inlineStr">
        <is>
          <t>2人</t>
        </is>
      </c>
      <c r="N273" s="42" t="inlineStr">
        <is>
          <t>1日</t>
        </is>
      </c>
      <c r="O273" s="45" t="inlineStr"/>
      <c r="P273" s="45" t="inlineStr"/>
      <c r="Q273" s="38" t="inlineStr">
        <is>
          <t>未着手</t>
        </is>
      </c>
      <c r="R273" s="28" t="inlineStr"/>
    </row>
    <row r="274">
      <c r="A274" s="33" t="inlineStr">
        <is>
          <t>P6-03</t>
        </is>
      </c>
      <c r="B274" s="33" t="inlineStr">
        <is>
          <t>P6</t>
        </is>
      </c>
      <c r="C274" s="34" t="inlineStr">
        <is>
          <t>旅行</t>
        </is>
      </c>
      <c r="D274" s="33" t="n">
        <v>2</v>
      </c>
      <c r="E274" s="35" t="inlineStr">
        <is>
          <t>新婚旅行に行く</t>
        </is>
      </c>
      <c r="F274" s="36" t="inlineStr">
        <is>
          <t>帰国している</t>
        </is>
      </c>
      <c r="G274" s="36" t="inlineStr"/>
      <c r="H274" s="36" t="inlineStr"/>
      <c r="I274" s="36" t="inlineStr"/>
      <c r="J274" s="33" t="n">
        <v>21</v>
      </c>
      <c r="K274" s="37">
        <f>EDATE('はじめに'!$C$5,J274)</f>
        <v/>
      </c>
      <c r="L274" s="33" t="inlineStr">
        <is>
          <t>任意</t>
        </is>
      </c>
      <c r="M274" s="33" t="inlineStr">
        <is>
          <t>2人</t>
        </is>
      </c>
      <c r="N274" s="33" t="inlineStr">
        <is>
          <t>1週間</t>
        </is>
      </c>
      <c r="O274" s="36" t="inlineStr"/>
      <c r="P274" s="36" t="inlineStr">
        <is>
          <t>新婚旅行の予約</t>
        </is>
      </c>
      <c r="Q274" s="38" t="inlineStr">
        <is>
          <t>未着手</t>
        </is>
      </c>
      <c r="R274" s="28" t="inlineStr"/>
    </row>
    <row r="275">
      <c r="A275" s="33" t="inlineStr">
        <is>
          <t>P6-04</t>
        </is>
      </c>
      <c r="B275" s="33" t="inlineStr">
        <is>
          <t>P6</t>
        </is>
      </c>
      <c r="C275" s="34" t="inlineStr">
        <is>
          <t>結婚式</t>
        </is>
      </c>
      <c r="D275" s="33" t="n">
        <v>2</v>
      </c>
      <c r="E275" s="35" t="inlineStr">
        <is>
          <t>式後の後処理を完了する</t>
        </is>
      </c>
      <c r="F275" s="36" t="inlineStr">
        <is>
          <t>内祝い・お礼・精算・アルバムが全て済んでいる</t>
        </is>
      </c>
      <c r="G275" s="36" t="inlineStr"/>
      <c r="H275" s="36" t="inlineStr"/>
      <c r="I275" s="36" t="inlineStr"/>
      <c r="J275" s="33" t="n">
        <v>22</v>
      </c>
      <c r="K275" s="37">
        <f>EDATE('はじめに'!$C$5,J275)</f>
        <v/>
      </c>
      <c r="L275" s="33" t="inlineStr">
        <is>
          <t>推奨</t>
        </is>
      </c>
      <c r="M275" s="33" t="inlineStr">
        <is>
          <t>2人</t>
        </is>
      </c>
      <c r="N275" s="33" t="inlineStr">
        <is>
          <t>2ヶ月</t>
        </is>
      </c>
      <c r="O275" s="36" t="inlineStr"/>
      <c r="P275" s="36" t="inlineStr">
        <is>
          <t>挙式・披露宴</t>
        </is>
      </c>
      <c r="Q275" s="38" t="inlineStr">
        <is>
          <t>未着手</t>
        </is>
      </c>
      <c r="R275" s="28" t="inlineStr"/>
    </row>
    <row r="276" outlineLevel="1">
      <c r="A276" s="39" t="inlineStr">
        <is>
          <t>P6-04-01</t>
        </is>
      </c>
      <c r="B276" s="39" t="inlineStr">
        <is>
          <t>P6</t>
        </is>
      </c>
      <c r="C276" s="22" t="inlineStr">
        <is>
          <t>結婚式</t>
        </is>
      </c>
      <c r="D276" s="39" t="n">
        <v>3</v>
      </c>
      <c r="E276" s="40" t="inlineStr">
        <is>
          <t>式に呼ばなかった人からのお祝いに内祝いを送る（半返し、1ヶ月以内）</t>
        </is>
      </c>
      <c r="F276" s="24" t="inlineStr">
        <is>
          <t>全員に送付済み</t>
        </is>
      </c>
      <c r="G276" s="24" t="inlineStr"/>
      <c r="H276" s="24" t="inlineStr"/>
      <c r="I276" s="24" t="inlineStr"/>
      <c r="J276" s="39" t="n">
        <v>22</v>
      </c>
      <c r="K276" s="41">
        <f>EDATE('はじめに'!$C$5,J276)</f>
        <v/>
      </c>
      <c r="L276" s="39" t="inlineStr">
        <is>
          <t>推奨</t>
        </is>
      </c>
      <c r="M276" s="39" t="inlineStr">
        <is>
          <t>2人</t>
        </is>
      </c>
      <c r="N276" s="39" t="inlineStr">
        <is>
          <t>3時間</t>
        </is>
      </c>
      <c r="O276" s="24" t="inlineStr"/>
      <c r="P276" s="24" t="inlineStr"/>
      <c r="Q276" s="38" t="inlineStr">
        <is>
          <t>未着手</t>
        </is>
      </c>
      <c r="R276" s="28" t="inlineStr"/>
    </row>
    <row r="277" outlineLevel="1">
      <c r="A277" s="42" t="inlineStr">
        <is>
          <t>P6-04-02</t>
        </is>
      </c>
      <c r="B277" s="42" t="inlineStr">
        <is>
          <t>P6</t>
        </is>
      </c>
      <c r="C277" s="43" t="inlineStr">
        <is>
          <t>結婚式</t>
        </is>
      </c>
      <c r="D277" s="42" t="n">
        <v>3</v>
      </c>
      <c r="E277" s="44" t="inlineStr">
        <is>
          <t>お礼状・お礼の連絡をする</t>
        </is>
      </c>
      <c r="F277" s="45" t="inlineStr">
        <is>
          <t>お礼が済んでいる</t>
        </is>
      </c>
      <c r="G277" s="45" t="inlineStr"/>
      <c r="H277" s="45" t="inlineStr"/>
      <c r="I277" s="45" t="inlineStr"/>
      <c r="J277" s="42" t="n">
        <v>22</v>
      </c>
      <c r="K277" s="46">
        <f>EDATE('はじめに'!$C$5,J277)</f>
        <v/>
      </c>
      <c r="L277" s="42" t="inlineStr">
        <is>
          <t>推奨</t>
        </is>
      </c>
      <c r="M277" s="42" t="inlineStr">
        <is>
          <t>2人</t>
        </is>
      </c>
      <c r="N277" s="42" t="inlineStr">
        <is>
          <t>2時間</t>
        </is>
      </c>
      <c r="O277" s="45" t="inlineStr"/>
      <c r="P277" s="45" t="inlineStr"/>
      <c r="Q277" s="38" t="inlineStr">
        <is>
          <t>未着手</t>
        </is>
      </c>
      <c r="R277" s="28" t="inlineStr"/>
    </row>
    <row r="278" outlineLevel="1">
      <c r="A278" s="39" t="inlineStr">
        <is>
          <t>P6-04-03</t>
        </is>
      </c>
      <c r="B278" s="39" t="inlineStr">
        <is>
          <t>P6</t>
        </is>
      </c>
      <c r="C278" s="22" t="inlineStr">
        <is>
          <t>結婚式</t>
        </is>
      </c>
      <c r="D278" s="39" t="n">
        <v>3</v>
      </c>
      <c r="E278" s="40" t="inlineStr">
        <is>
          <t>写真・映像を受け取り、アルバムを作る（納品まで1〜3ヶ月）</t>
        </is>
      </c>
      <c r="F278" s="24" t="inlineStr">
        <is>
          <t>アルバムができている</t>
        </is>
      </c>
      <c r="G278" s="24" t="inlineStr"/>
      <c r="H278" s="24" t="inlineStr"/>
      <c r="I278" s="24" t="inlineStr"/>
      <c r="J278" s="39" t="n">
        <v>23</v>
      </c>
      <c r="K278" s="41">
        <f>EDATE('はじめに'!$C$5,J278)</f>
        <v/>
      </c>
      <c r="L278" s="39" t="inlineStr">
        <is>
          <t>任意</t>
        </is>
      </c>
      <c r="M278" s="39" t="inlineStr">
        <is>
          <t>2人</t>
        </is>
      </c>
      <c r="N278" s="39" t="inlineStr">
        <is>
          <t>1ヶ月</t>
        </is>
      </c>
      <c r="O278" s="24" t="inlineStr"/>
      <c r="P278" s="24" t="inlineStr"/>
      <c r="Q278" s="38" t="inlineStr">
        <is>
          <t>未着手</t>
        </is>
      </c>
      <c r="R278" s="28" t="inlineStr"/>
    </row>
    <row r="279" outlineLevel="1">
      <c r="A279" s="42" t="inlineStr">
        <is>
          <t>P6-04-04</t>
        </is>
      </c>
      <c r="B279" s="42" t="inlineStr">
        <is>
          <t>P6</t>
        </is>
      </c>
      <c r="C279" s="43" t="inlineStr">
        <is>
          <t>お金</t>
        </is>
      </c>
      <c r="D279" s="42" t="n">
        <v>3</v>
      </c>
      <c r="E279" s="44" t="inlineStr">
        <is>
          <t>ご祝儀を集計し、式の収支を確定する</t>
        </is>
      </c>
      <c r="F279" s="45" t="inlineStr">
        <is>
          <t>最終的な持ち出し額が分かっている</t>
        </is>
      </c>
      <c r="G279" s="45" t="inlineStr"/>
      <c r="H279" s="45" t="inlineStr"/>
      <c r="I279" s="45" t="inlineStr"/>
      <c r="J279" s="42" t="n">
        <v>22</v>
      </c>
      <c r="K279" s="46">
        <f>EDATE('はじめに'!$C$5,J279)</f>
        <v/>
      </c>
      <c r="L279" s="42" t="inlineStr">
        <is>
          <t>推奨</t>
        </is>
      </c>
      <c r="M279" s="42" t="inlineStr">
        <is>
          <t>2人</t>
        </is>
      </c>
      <c r="N279" s="42" t="inlineStr">
        <is>
          <t>1時間</t>
        </is>
      </c>
      <c r="O279" s="45" t="inlineStr"/>
      <c r="P279" s="45" t="inlineStr"/>
      <c r="Q279" s="38" t="inlineStr">
        <is>
          <t>未着手</t>
        </is>
      </c>
      <c r="R279" s="28" t="inlineStr"/>
    </row>
    <row r="280" outlineLevel="1">
      <c r="A280" s="39" t="inlineStr">
        <is>
          <t>P6-04-05</t>
        </is>
      </c>
      <c r="B280" s="39" t="inlineStr">
        <is>
          <t>P6</t>
        </is>
      </c>
      <c r="C280" s="22" t="inlineStr">
        <is>
          <t>お金</t>
        </is>
      </c>
      <c r="D280" s="39" t="n">
        <v>3</v>
      </c>
      <c r="E280" s="40" t="inlineStr">
        <is>
          <t>貯蓄の残高を確認し、出産・育児資金の積立に切り替える</t>
        </is>
      </c>
      <c r="F280" s="24" t="inlineStr">
        <is>
          <t>積立の設定が変わっている</t>
        </is>
      </c>
      <c r="G280" s="24" t="inlineStr"/>
      <c r="H280" s="24" t="inlineStr"/>
      <c r="I280" s="24" t="inlineStr"/>
      <c r="J280" s="39" t="n">
        <v>23</v>
      </c>
      <c r="K280" s="41">
        <f>EDATE('はじめに'!$C$5,J280)</f>
        <v/>
      </c>
      <c r="L280" s="39" t="inlineStr">
        <is>
          <t>推奨</t>
        </is>
      </c>
      <c r="M280" s="39" t="inlineStr">
        <is>
          <t>2人</t>
        </is>
      </c>
      <c r="N280" s="39" t="inlineStr">
        <is>
          <t>1時間</t>
        </is>
      </c>
      <c r="O280" s="24" t="inlineStr"/>
      <c r="P280" s="24" t="inlineStr"/>
      <c r="Q280" s="38" t="inlineStr">
        <is>
          <t>未着手</t>
        </is>
      </c>
      <c r="R280" s="28" t="inlineStr"/>
    </row>
    <row r="281">
      <c r="A281" s="33" t="inlineStr">
        <is>
          <t>P7-01</t>
        </is>
      </c>
      <c r="B281" s="33" t="inlineStr">
        <is>
          <t>P7</t>
        </is>
      </c>
      <c r="C281" s="34" t="inlineStr">
        <is>
          <t>妊活</t>
        </is>
      </c>
      <c r="D281" s="33" t="n">
        <v>2</v>
      </c>
      <c r="E281" s="35" t="inlineStr">
        <is>
          <t>子どもの人数・時期・できなかった場合の方針を話す</t>
        </is>
      </c>
      <c r="F281" s="36" t="inlineStr">
        <is>
          <t>3つの論点について2人の結論が紙に書かれている</t>
        </is>
      </c>
      <c r="G281" s="36" t="inlineStr">
        <is>
          <t>何歳までに何人か／治療をどこまでやるか／できなかった場合どうするか</t>
        </is>
      </c>
      <c r="H281" s="36" t="inlineStr">
        <is>
          <t>自然妊娠のみ／人工授精まで／体外受精まで／養子縁組も視野／子どもを持たない選択</t>
        </is>
      </c>
      <c r="I281" s="36" t="inlineStr">
        <is>
          <t>ここを飛ばすとP8で必ず衝突する。「できなかったときどうするか」まで先に話しておくと、追い込まれた状態での判断を避けられる</t>
        </is>
      </c>
      <c r="J281" s="33" t="n">
        <v>18</v>
      </c>
      <c r="K281" s="37">
        <f>EDATE('はじめに'!$C$5,J281)</f>
        <v/>
      </c>
      <c r="L281" s="33" t="inlineStr">
        <is>
          <t>推奨</t>
        </is>
      </c>
      <c r="M281" s="33" t="inlineStr">
        <is>
          <t>2人</t>
        </is>
      </c>
      <c r="N281" s="33" t="inlineStr">
        <is>
          <t>3時間</t>
        </is>
      </c>
      <c r="O281" s="36" t="inlineStr"/>
      <c r="P281" s="36" t="inlineStr">
        <is>
          <t>結婚後の生活方針の合意</t>
        </is>
      </c>
      <c r="Q281" s="38" t="inlineStr">
        <is>
          <t>未着手</t>
        </is>
      </c>
      <c r="R281" s="28" t="inlineStr"/>
    </row>
    <row r="282" outlineLevel="1">
      <c r="A282" s="39" t="inlineStr">
        <is>
          <t>P7-01-01</t>
        </is>
      </c>
      <c r="B282" s="39" t="inlineStr">
        <is>
          <t>P7</t>
        </is>
      </c>
      <c r="C282" s="22" t="inlineStr">
        <is>
          <t>妊活</t>
        </is>
      </c>
      <c r="D282" s="39" t="n">
        <v>3</v>
      </c>
      <c r="E282" s="40" t="inlineStr">
        <is>
          <t>各自が希望する人数と、何歳までに産みたいかを言葉にする</t>
        </is>
      </c>
      <c r="F282" s="24" t="inlineStr">
        <is>
          <t>希望が共有されている</t>
        </is>
      </c>
      <c r="G282" s="24" t="inlineStr"/>
      <c r="H282" s="24" t="inlineStr"/>
      <c r="I282" s="24" t="inlineStr"/>
      <c r="J282" s="39" t="n">
        <v>18</v>
      </c>
      <c r="K282" s="41">
        <f>EDATE('はじめに'!$C$5,J282)</f>
        <v/>
      </c>
      <c r="L282" s="39" t="inlineStr">
        <is>
          <t>推奨</t>
        </is>
      </c>
      <c r="M282" s="39" t="inlineStr">
        <is>
          <t>2人</t>
        </is>
      </c>
      <c r="N282" s="39" t="inlineStr">
        <is>
          <t>1時間</t>
        </is>
      </c>
      <c r="O282" s="24" t="inlineStr"/>
      <c r="P282" s="24" t="inlineStr"/>
      <c r="Q282" s="38" t="inlineStr">
        <is>
          <t>未着手</t>
        </is>
      </c>
      <c r="R282" s="28" t="inlineStr"/>
    </row>
    <row r="283" outlineLevel="1">
      <c r="A283" s="42" t="inlineStr">
        <is>
          <t>P7-01-02</t>
        </is>
      </c>
      <c r="B283" s="42" t="inlineStr">
        <is>
          <t>P7</t>
        </is>
      </c>
      <c r="C283" s="43" t="inlineStr">
        <is>
          <t>妊活</t>
        </is>
      </c>
      <c r="D283" s="42" t="n">
        <v>3</v>
      </c>
      <c r="E283" s="44" t="inlineStr">
        <is>
          <t>年齢と妊娠率・流産率の関係を2人で同じ資料で確認する</t>
        </is>
      </c>
      <c r="F283" s="45" t="inlineStr">
        <is>
          <t>共通の前提ができている</t>
        </is>
      </c>
      <c r="G283" s="45" t="inlineStr"/>
      <c r="H283" s="45" t="inlineStr"/>
      <c r="I283" s="45" t="inlineStr"/>
      <c r="J283" s="42" t="n">
        <v>18</v>
      </c>
      <c r="K283" s="46">
        <f>EDATE('はじめに'!$C$5,J283)</f>
        <v/>
      </c>
      <c r="L283" s="42" t="inlineStr">
        <is>
          <t>推奨</t>
        </is>
      </c>
      <c r="M283" s="42" t="inlineStr">
        <is>
          <t>2人</t>
        </is>
      </c>
      <c r="N283" s="42" t="inlineStr">
        <is>
          <t>1時間</t>
        </is>
      </c>
      <c r="O283" s="45" t="inlineStr"/>
      <c r="P283" s="45" t="inlineStr"/>
      <c r="Q283" s="38" t="inlineStr">
        <is>
          <t>未着手</t>
        </is>
      </c>
      <c r="R283" s="28" t="inlineStr"/>
    </row>
    <row r="284" outlineLevel="1">
      <c r="A284" s="39" t="inlineStr">
        <is>
          <t>P7-01-03</t>
        </is>
      </c>
      <c r="B284" s="39" t="inlineStr">
        <is>
          <t>P7</t>
        </is>
      </c>
      <c r="C284" s="22" t="inlineStr">
        <is>
          <t>妊活</t>
        </is>
      </c>
      <c r="D284" s="39" t="n">
        <v>3</v>
      </c>
      <c r="E284" s="40" t="inlineStr">
        <is>
          <t>「できなかった場合」の選択肢を並べて、話せる状態にしておく</t>
        </is>
      </c>
      <c r="F284" s="24" t="inlineStr">
        <is>
          <t>タブーにしないで話せている</t>
        </is>
      </c>
      <c r="G284" s="24" t="inlineStr"/>
      <c r="H284" s="24" t="inlineStr"/>
      <c r="I284" s="24" t="inlineStr"/>
      <c r="J284" s="39" t="n">
        <v>18</v>
      </c>
      <c r="K284" s="41">
        <f>EDATE('はじめに'!$C$5,J284)</f>
        <v/>
      </c>
      <c r="L284" s="39" t="inlineStr">
        <is>
          <t>推奨</t>
        </is>
      </c>
      <c r="M284" s="39" t="inlineStr">
        <is>
          <t>2人</t>
        </is>
      </c>
      <c r="N284" s="39" t="inlineStr">
        <is>
          <t>1時間</t>
        </is>
      </c>
      <c r="O284" s="24" t="inlineStr"/>
      <c r="P284" s="24" t="inlineStr"/>
      <c r="Q284" s="38" t="inlineStr">
        <is>
          <t>未着手</t>
        </is>
      </c>
      <c r="R284" s="28" t="inlineStr"/>
    </row>
    <row r="285">
      <c r="A285" s="33" t="inlineStr">
        <is>
          <t>P7-02</t>
        </is>
      </c>
      <c r="B285" s="33" t="inlineStr">
        <is>
          <t>P7</t>
        </is>
      </c>
      <c r="C285" s="34" t="inlineStr">
        <is>
          <t>医療</t>
        </is>
      </c>
      <c r="D285" s="33" t="n">
        <v>2</v>
      </c>
      <c r="E285" s="35" t="inlineStr">
        <is>
          <t>ブライダルチェック（妊娠する側）を受ける</t>
        </is>
      </c>
      <c r="F285" s="36" t="inlineStr">
        <is>
          <t>検査結果を受け取り、問題の有無を把握している</t>
        </is>
      </c>
      <c r="G285" s="36" t="inlineStr">
        <is>
          <t>何を調べるか、どこで受けるか</t>
        </is>
      </c>
      <c r="H285" s="36" t="inlineStr">
        <is>
          <t>経腟エコー（子宮筋腫・卵巣嚢腫）／AMH（卵巣予備能）／感染症／子宮頸がん検診／風疹抗体／甲状腺／クラミジア</t>
        </is>
      </c>
      <c r="I285" s="36" t="inlineStr">
        <is>
          <t>婦人科・レディースクリニックで自費1〜3万円。AMHは「あと何年妊娠を狙えるか」の目安になるので、年齢が上がっているほど価値が高い</t>
        </is>
      </c>
      <c r="J285" s="33" t="n">
        <v>18</v>
      </c>
      <c r="K285" s="37">
        <f>EDATE('はじめに'!$C$5,J285)</f>
        <v/>
      </c>
      <c r="L285" s="33" t="inlineStr">
        <is>
          <t>推奨</t>
        </is>
      </c>
      <c r="M285" s="33" t="inlineStr">
        <is>
          <t>妊娠する側</t>
        </is>
      </c>
      <c r="N285" s="33" t="inlineStr">
        <is>
          <t>1ヶ月</t>
        </is>
      </c>
      <c r="O285" s="36" t="inlineStr">
        <is>
          <t>1〜3万円</t>
        </is>
      </c>
      <c r="P285" s="36" t="inlineStr"/>
      <c r="Q285" s="38" t="inlineStr">
        <is>
          <t>未着手</t>
        </is>
      </c>
      <c r="R285" s="28" t="inlineStr"/>
    </row>
    <row r="286" outlineLevel="1">
      <c r="A286" s="39" t="inlineStr">
        <is>
          <t>P7-02-01</t>
        </is>
      </c>
      <c r="B286" s="39" t="inlineStr">
        <is>
          <t>P7</t>
        </is>
      </c>
      <c r="C286" s="22" t="inlineStr">
        <is>
          <t>医療</t>
        </is>
      </c>
      <c r="D286" s="39" t="n">
        <v>3</v>
      </c>
      <c r="E286" s="40" t="inlineStr">
        <is>
          <t>クリニックを選んで予約する</t>
        </is>
      </c>
      <c r="F286" s="24" t="inlineStr">
        <is>
          <t>予約済み</t>
        </is>
      </c>
      <c r="G286" s="24" t="inlineStr"/>
      <c r="H286" s="24" t="inlineStr"/>
      <c r="I286" s="24" t="inlineStr"/>
      <c r="J286" s="39" t="n">
        <v>18</v>
      </c>
      <c r="K286" s="41">
        <f>EDATE('はじめに'!$C$5,J286)</f>
        <v/>
      </c>
      <c r="L286" s="39" t="inlineStr">
        <is>
          <t>推奨</t>
        </is>
      </c>
      <c r="M286" s="39" t="inlineStr">
        <is>
          <t>妊娠する側</t>
        </is>
      </c>
      <c r="N286" s="39" t="inlineStr">
        <is>
          <t>1時間</t>
        </is>
      </c>
      <c r="O286" s="24" t="inlineStr"/>
      <c r="P286" s="24" t="inlineStr"/>
      <c r="Q286" s="38" t="inlineStr">
        <is>
          <t>未着手</t>
        </is>
      </c>
      <c r="R286" s="28" t="inlineStr"/>
    </row>
    <row r="287" outlineLevel="1">
      <c r="A287" s="42" t="inlineStr">
        <is>
          <t>P7-02-02</t>
        </is>
      </c>
      <c r="B287" s="42" t="inlineStr">
        <is>
          <t>P7</t>
        </is>
      </c>
      <c r="C287" s="43" t="inlineStr">
        <is>
          <t>医療</t>
        </is>
      </c>
      <c r="D287" s="42" t="n">
        <v>3</v>
      </c>
      <c r="E287" s="44" t="inlineStr">
        <is>
          <t>検査項目にAMHが含まれるか確認する（含まれないプランがある）</t>
        </is>
      </c>
      <c r="F287" s="45" t="inlineStr">
        <is>
          <t>AMHが入っている</t>
        </is>
      </c>
      <c r="G287" s="45" t="inlineStr"/>
      <c r="H287" s="45" t="inlineStr"/>
      <c r="I287" s="45" t="inlineStr"/>
      <c r="J287" s="42" t="n">
        <v>18</v>
      </c>
      <c r="K287" s="46">
        <f>EDATE('はじめに'!$C$5,J287)</f>
        <v/>
      </c>
      <c r="L287" s="42" t="inlineStr">
        <is>
          <t>推奨</t>
        </is>
      </c>
      <c r="M287" s="42" t="inlineStr">
        <is>
          <t>妊娠する側</t>
        </is>
      </c>
      <c r="N287" s="42" t="inlineStr">
        <is>
          <t>15分</t>
        </is>
      </c>
      <c r="O287" s="45" t="inlineStr"/>
      <c r="P287" s="45" t="inlineStr"/>
      <c r="Q287" s="38" t="inlineStr">
        <is>
          <t>未着手</t>
        </is>
      </c>
      <c r="R287" s="28" t="inlineStr"/>
    </row>
    <row r="288" outlineLevel="1">
      <c r="A288" s="39" t="inlineStr">
        <is>
          <t>P7-02-03</t>
        </is>
      </c>
      <c r="B288" s="39" t="inlineStr">
        <is>
          <t>P7</t>
        </is>
      </c>
      <c r="C288" s="22" t="inlineStr">
        <is>
          <t>医療</t>
        </is>
      </c>
      <c r="D288" s="39" t="n">
        <v>3</v>
      </c>
      <c r="E288" s="40" t="inlineStr">
        <is>
          <t>受診して検査を受ける</t>
        </is>
      </c>
      <c r="F288" s="24" t="inlineStr">
        <is>
          <t>検査完了</t>
        </is>
      </c>
      <c r="G288" s="24" t="inlineStr"/>
      <c r="H288" s="24" t="inlineStr"/>
      <c r="I288" s="24" t="inlineStr"/>
      <c r="J288" s="39" t="n">
        <v>18</v>
      </c>
      <c r="K288" s="41">
        <f>EDATE('はじめに'!$C$5,J288)</f>
        <v/>
      </c>
      <c r="L288" s="39" t="inlineStr">
        <is>
          <t>推奨</t>
        </is>
      </c>
      <c r="M288" s="39" t="inlineStr">
        <is>
          <t>妊娠する側</t>
        </is>
      </c>
      <c r="N288" s="39" t="inlineStr">
        <is>
          <t>半日</t>
        </is>
      </c>
      <c r="O288" s="24" t="inlineStr"/>
      <c r="P288" s="24" t="inlineStr"/>
      <c r="Q288" s="38" t="inlineStr">
        <is>
          <t>未着手</t>
        </is>
      </c>
      <c r="R288" s="28" t="inlineStr"/>
    </row>
    <row r="289" outlineLevel="1">
      <c r="A289" s="42" t="inlineStr">
        <is>
          <t>P7-02-04</t>
        </is>
      </c>
      <c r="B289" s="42" t="inlineStr">
        <is>
          <t>P7</t>
        </is>
      </c>
      <c r="C289" s="43" t="inlineStr">
        <is>
          <t>医療</t>
        </is>
      </c>
      <c r="D289" s="42" t="n">
        <v>3</v>
      </c>
      <c r="E289" s="44" t="inlineStr">
        <is>
          <t>結果を2人で共有し、必要なら治療・経過観察の方針を決める</t>
        </is>
      </c>
      <c r="F289" s="45" t="inlineStr">
        <is>
          <t>方針が決まっている</t>
        </is>
      </c>
      <c r="G289" s="45" t="inlineStr"/>
      <c r="H289" s="45" t="inlineStr"/>
      <c r="I289" s="45" t="inlineStr"/>
      <c r="J289" s="42" t="n">
        <v>19</v>
      </c>
      <c r="K289" s="46">
        <f>EDATE('はじめに'!$C$5,J289)</f>
        <v/>
      </c>
      <c r="L289" s="42" t="inlineStr">
        <is>
          <t>推奨</t>
        </is>
      </c>
      <c r="M289" s="42" t="inlineStr">
        <is>
          <t>2人</t>
        </is>
      </c>
      <c r="N289" s="42" t="inlineStr">
        <is>
          <t>1時間</t>
        </is>
      </c>
      <c r="O289" s="45" t="inlineStr"/>
      <c r="P289" s="45" t="inlineStr"/>
      <c r="Q289" s="38" t="inlineStr">
        <is>
          <t>未着手</t>
        </is>
      </c>
      <c r="R289" s="28" t="inlineStr"/>
    </row>
    <row r="290">
      <c r="A290" s="33" t="inlineStr">
        <is>
          <t>P7-03</t>
        </is>
      </c>
      <c r="B290" s="33" t="inlineStr">
        <is>
          <t>P7</t>
        </is>
      </c>
      <c r="C290" s="34" t="inlineStr">
        <is>
          <t>医療</t>
        </is>
      </c>
      <c r="D290" s="33" t="n">
        <v>2</v>
      </c>
      <c r="E290" s="35" t="inlineStr">
        <is>
          <t>精液検査（パートナー側）を受ける</t>
        </is>
      </c>
      <c r="F290" s="36" t="inlineStr">
        <is>
          <t>検査結果を受け取り、2人で共有している</t>
        </is>
      </c>
      <c r="G290" s="36" t="inlineStr">
        <is>
          <t>受けるかどうか、どこで受けるか</t>
        </is>
      </c>
      <c r="H290" s="36" t="inlineStr">
        <is>
          <t>泌尿器科／不妊治療クリニックのブライダルチェック／自宅検査キット（Seem等、あくまでスクリーニング）</t>
        </is>
      </c>
      <c r="I290" s="36" t="inlineStr">
        <is>
          <t>不妊原因の約半分は男性側にある。かつ検査は5,000円前後・1回で終わる。最初にやるのが合理的。ここを避けるとP8で必ず関係が悪化する</t>
        </is>
      </c>
      <c r="J290" s="33" t="n">
        <v>18</v>
      </c>
      <c r="K290" s="37">
        <f>EDATE('はじめに'!$C$5,J290)</f>
        <v/>
      </c>
      <c r="L290" s="33" t="inlineStr">
        <is>
          <t>推奨</t>
        </is>
      </c>
      <c r="M290" s="33" t="inlineStr">
        <is>
          <t>パートナー</t>
        </is>
      </c>
      <c r="N290" s="33" t="inlineStr">
        <is>
          <t>2週間</t>
        </is>
      </c>
      <c r="O290" s="36" t="inlineStr">
        <is>
          <t>5,000〜1.5万円</t>
        </is>
      </c>
      <c r="P290" s="36" t="inlineStr"/>
      <c r="Q290" s="38" t="inlineStr">
        <is>
          <t>未着手</t>
        </is>
      </c>
      <c r="R290" s="28" t="inlineStr"/>
    </row>
    <row r="291" outlineLevel="1">
      <c r="A291" s="42" t="inlineStr">
        <is>
          <t>P7-03-01</t>
        </is>
      </c>
      <c r="B291" s="42" t="inlineStr">
        <is>
          <t>P7</t>
        </is>
      </c>
      <c r="C291" s="43" t="inlineStr">
        <is>
          <t>医療</t>
        </is>
      </c>
      <c r="D291" s="42" t="n">
        <v>3</v>
      </c>
      <c r="E291" s="44" t="inlineStr">
        <is>
          <t>受診先を決めて予約する（心理的ハードルが高いなら自宅キットから）</t>
        </is>
      </c>
      <c r="F291" s="45" t="inlineStr">
        <is>
          <t>予約済み</t>
        </is>
      </c>
      <c r="G291" s="45" t="inlineStr"/>
      <c r="H291" s="45" t="inlineStr"/>
      <c r="I291" s="45" t="inlineStr"/>
      <c r="J291" s="42" t="n">
        <v>18</v>
      </c>
      <c r="K291" s="46">
        <f>EDATE('はじめに'!$C$5,J291)</f>
        <v/>
      </c>
      <c r="L291" s="42" t="inlineStr">
        <is>
          <t>推奨</t>
        </is>
      </c>
      <c r="M291" s="42" t="inlineStr">
        <is>
          <t>パートナー</t>
        </is>
      </c>
      <c r="N291" s="42" t="inlineStr">
        <is>
          <t>1時間</t>
        </is>
      </c>
      <c r="O291" s="45" t="inlineStr"/>
      <c r="P291" s="45" t="inlineStr"/>
      <c r="Q291" s="38" t="inlineStr">
        <is>
          <t>未着手</t>
        </is>
      </c>
      <c r="R291" s="28" t="inlineStr"/>
    </row>
    <row r="292" outlineLevel="1">
      <c r="A292" s="39" t="inlineStr">
        <is>
          <t>P7-03-02</t>
        </is>
      </c>
      <c r="B292" s="39" t="inlineStr">
        <is>
          <t>P7</t>
        </is>
      </c>
      <c r="C292" s="22" t="inlineStr">
        <is>
          <t>医療</t>
        </is>
      </c>
      <c r="D292" s="39" t="n">
        <v>3</v>
      </c>
      <c r="E292" s="40" t="inlineStr">
        <is>
          <t>検査を受ける</t>
        </is>
      </c>
      <c r="F292" s="24" t="inlineStr">
        <is>
          <t>検査完了</t>
        </is>
      </c>
      <c r="G292" s="24" t="inlineStr"/>
      <c r="H292" s="24" t="inlineStr"/>
      <c r="I292" s="24" t="inlineStr"/>
      <c r="J292" s="39" t="n">
        <v>18</v>
      </c>
      <c r="K292" s="41">
        <f>EDATE('はじめに'!$C$5,J292)</f>
        <v/>
      </c>
      <c r="L292" s="39" t="inlineStr">
        <is>
          <t>推奨</t>
        </is>
      </c>
      <c r="M292" s="39" t="inlineStr">
        <is>
          <t>パートナー</t>
        </is>
      </c>
      <c r="N292" s="39" t="inlineStr">
        <is>
          <t>半日</t>
        </is>
      </c>
      <c r="O292" s="24" t="inlineStr"/>
      <c r="P292" s="24" t="inlineStr"/>
      <c r="Q292" s="38" t="inlineStr">
        <is>
          <t>未着手</t>
        </is>
      </c>
      <c r="R292" s="28" t="inlineStr"/>
    </row>
    <row r="293" outlineLevel="1">
      <c r="A293" s="42" t="inlineStr">
        <is>
          <t>P7-03-03</t>
        </is>
      </c>
      <c r="B293" s="42" t="inlineStr">
        <is>
          <t>P7</t>
        </is>
      </c>
      <c r="C293" s="43" t="inlineStr">
        <is>
          <t>医療</t>
        </is>
      </c>
      <c r="D293" s="42" t="n">
        <v>3</v>
      </c>
      <c r="E293" s="44" t="inlineStr">
        <is>
          <t>結果を2人で共有する（数値は変動するので1回で断定しない）</t>
        </is>
      </c>
      <c r="F293" s="45" t="inlineStr">
        <is>
          <t>共有できている</t>
        </is>
      </c>
      <c r="G293" s="45" t="inlineStr"/>
      <c r="H293" s="45" t="inlineStr"/>
      <c r="I293" s="45" t="inlineStr"/>
      <c r="J293" s="42" t="n">
        <v>19</v>
      </c>
      <c r="K293" s="46">
        <f>EDATE('はじめに'!$C$5,J293)</f>
        <v/>
      </c>
      <c r="L293" s="42" t="inlineStr">
        <is>
          <t>推奨</t>
        </is>
      </c>
      <c r="M293" s="42" t="inlineStr">
        <is>
          <t>2人</t>
        </is>
      </c>
      <c r="N293" s="42" t="inlineStr">
        <is>
          <t>30分</t>
        </is>
      </c>
      <c r="O293" s="45" t="inlineStr"/>
      <c r="P293" s="45" t="inlineStr"/>
      <c r="Q293" s="38" t="inlineStr">
        <is>
          <t>未着手</t>
        </is>
      </c>
      <c r="R293" s="28" t="inlineStr"/>
    </row>
    <row r="294">
      <c r="A294" s="33" t="inlineStr">
        <is>
          <t>P7-04</t>
        </is>
      </c>
      <c r="B294" s="33" t="inlineStr">
        <is>
          <t>P7</t>
        </is>
      </c>
      <c r="C294" s="34" t="inlineStr">
        <is>
          <t>医療</t>
        </is>
      </c>
      <c r="D294" s="33" t="n">
        <v>2</v>
      </c>
      <c r="E294" s="35" t="inlineStr">
        <is>
          <t>風疹の抗体検査とワクチン接種（2人とも）</t>
        </is>
      </c>
      <c r="F294" s="36" t="inlineStr">
        <is>
          <t>2人とも十分な抗体価があるか、接種を完了している</t>
        </is>
      </c>
      <c r="G294" s="36" t="inlineStr">
        <is>
          <t>抗体価が足りているか</t>
        </is>
      </c>
      <c r="H294" s="36" t="inlineStr">
        <is>
          <t>MRワクチン／風疹単独ワクチン</t>
        </is>
      </c>
      <c r="I294" s="36" t="inlineStr">
        <is>
          <t>接種後2ヶ月は避妊が必要なので、妊活開始の3ヶ月前までに終わらせる。自治体の無料検査あり。パートナー側も家庭内感染源になるので必須</t>
        </is>
      </c>
      <c r="J294" s="33" t="n">
        <v>18</v>
      </c>
      <c r="K294" s="37">
        <f>EDATE('はじめに'!$C$5,J294)</f>
        <v/>
      </c>
      <c r="L294" s="33" t="inlineStr">
        <is>
          <t>推奨</t>
        </is>
      </c>
      <c r="M294" s="33" t="inlineStr">
        <is>
          <t>2人</t>
        </is>
      </c>
      <c r="N294" s="33" t="inlineStr">
        <is>
          <t>1ヶ月</t>
        </is>
      </c>
      <c r="O294" s="36" t="inlineStr">
        <is>
          <t>0〜1万円</t>
        </is>
      </c>
      <c r="P294" s="36" t="inlineStr"/>
      <c r="Q294" s="38" t="inlineStr">
        <is>
          <t>未着手</t>
        </is>
      </c>
      <c r="R294" s="28" t="inlineStr"/>
    </row>
    <row r="295" outlineLevel="1">
      <c r="A295" s="42" t="inlineStr">
        <is>
          <t>P7-04-01</t>
        </is>
      </c>
      <c r="B295" s="42" t="inlineStr">
        <is>
          <t>P7</t>
        </is>
      </c>
      <c r="C295" s="43" t="inlineStr">
        <is>
          <t>医療</t>
        </is>
      </c>
      <c r="D295" s="42" t="n">
        <v>3</v>
      </c>
      <c r="E295" s="44" t="inlineStr">
        <is>
          <t>自治体の無料抗体検査・助成の有無を調べる</t>
        </is>
      </c>
      <c r="F295" s="45" t="inlineStr">
        <is>
          <t>使える制度が分かっている</t>
        </is>
      </c>
      <c r="G295" s="45" t="inlineStr"/>
      <c r="H295" s="45" t="inlineStr"/>
      <c r="I295" s="45" t="inlineStr"/>
      <c r="J295" s="42" t="n">
        <v>18</v>
      </c>
      <c r="K295" s="46">
        <f>EDATE('はじめに'!$C$5,J295)</f>
        <v/>
      </c>
      <c r="L295" s="42" t="inlineStr">
        <is>
          <t>推奨</t>
        </is>
      </c>
      <c r="M295" s="42" t="inlineStr">
        <is>
          <t>どちらか</t>
        </is>
      </c>
      <c r="N295" s="42" t="inlineStr">
        <is>
          <t>30分</t>
        </is>
      </c>
      <c r="O295" s="45" t="inlineStr"/>
      <c r="P295" s="45" t="inlineStr"/>
      <c r="Q295" s="38" t="inlineStr">
        <is>
          <t>未着手</t>
        </is>
      </c>
      <c r="R295" s="28" t="inlineStr"/>
    </row>
    <row r="296" outlineLevel="1">
      <c r="A296" s="39" t="inlineStr">
        <is>
          <t>P7-04-02</t>
        </is>
      </c>
      <c r="B296" s="39" t="inlineStr">
        <is>
          <t>P7</t>
        </is>
      </c>
      <c r="C296" s="22" t="inlineStr">
        <is>
          <t>医療</t>
        </is>
      </c>
      <c r="D296" s="39" t="n">
        <v>3</v>
      </c>
      <c r="E296" s="40" t="inlineStr">
        <is>
          <t>抗体検査を受ける（母子手帳に接種歴があっても抗体があるとは限らない）</t>
        </is>
      </c>
      <c r="F296" s="24" t="inlineStr">
        <is>
          <t>抗体価が分かっている</t>
        </is>
      </c>
      <c r="G296" s="24" t="inlineStr"/>
      <c r="H296" s="24" t="inlineStr"/>
      <c r="I296" s="24" t="inlineStr"/>
      <c r="J296" s="39" t="n">
        <v>18</v>
      </c>
      <c r="K296" s="41">
        <f>EDATE('はじめに'!$C$5,J296)</f>
        <v/>
      </c>
      <c r="L296" s="39" t="inlineStr">
        <is>
          <t>推奨</t>
        </is>
      </c>
      <c r="M296" s="39" t="inlineStr">
        <is>
          <t>2人</t>
        </is>
      </c>
      <c r="N296" s="39" t="inlineStr">
        <is>
          <t>半日</t>
        </is>
      </c>
      <c r="O296" s="24" t="inlineStr"/>
      <c r="P296" s="24" t="inlineStr"/>
      <c r="Q296" s="38" t="inlineStr">
        <is>
          <t>未着手</t>
        </is>
      </c>
      <c r="R296" s="28" t="inlineStr"/>
    </row>
    <row r="297" outlineLevel="1">
      <c r="A297" s="42" t="inlineStr">
        <is>
          <t>P7-04-03</t>
        </is>
      </c>
      <c r="B297" s="42" t="inlineStr">
        <is>
          <t>P7</t>
        </is>
      </c>
      <c r="C297" s="43" t="inlineStr">
        <is>
          <t>医療</t>
        </is>
      </c>
      <c r="D297" s="42" t="n">
        <v>3</v>
      </c>
      <c r="E297" s="44" t="inlineStr">
        <is>
          <t>抗体が不足していればワクチンを接種する</t>
        </is>
      </c>
      <c r="F297" s="45" t="inlineStr">
        <is>
          <t>接種済み</t>
        </is>
      </c>
      <c r="G297" s="45" t="inlineStr"/>
      <c r="H297" s="45" t="inlineStr"/>
      <c r="I297" s="45" t="inlineStr"/>
      <c r="J297" s="42" t="n">
        <v>19</v>
      </c>
      <c r="K297" s="46">
        <f>EDATE('はじめに'!$C$5,J297)</f>
        <v/>
      </c>
      <c r="L297" s="42" t="inlineStr">
        <is>
          <t>推奨</t>
        </is>
      </c>
      <c r="M297" s="42" t="inlineStr">
        <is>
          <t>2人</t>
        </is>
      </c>
      <c r="N297" s="42" t="inlineStr">
        <is>
          <t>1時間</t>
        </is>
      </c>
      <c r="O297" s="45" t="inlineStr"/>
      <c r="P297" s="45" t="inlineStr"/>
      <c r="Q297" s="38" t="inlineStr">
        <is>
          <t>未着手</t>
        </is>
      </c>
      <c r="R297" s="28" t="inlineStr"/>
    </row>
    <row r="298" outlineLevel="1">
      <c r="A298" s="39" t="inlineStr">
        <is>
          <t>P7-04-04</t>
        </is>
      </c>
      <c r="B298" s="39" t="inlineStr">
        <is>
          <t>P7</t>
        </is>
      </c>
      <c r="C298" s="22" t="inlineStr">
        <is>
          <t>医療</t>
        </is>
      </c>
      <c r="D298" s="39" t="n">
        <v>3</v>
      </c>
      <c r="E298" s="40" t="inlineStr">
        <is>
          <t>接種から2ヶ月の避妊期間をカレンダーに入れる</t>
        </is>
      </c>
      <c r="F298" s="24" t="inlineStr">
        <is>
          <t>妊活開始可能日が分かっている</t>
        </is>
      </c>
      <c r="G298" s="24" t="inlineStr"/>
      <c r="H298" s="24" t="inlineStr"/>
      <c r="I298" s="24" t="inlineStr"/>
      <c r="J298" s="39" t="n">
        <v>19</v>
      </c>
      <c r="K298" s="41">
        <f>EDATE('はじめに'!$C$5,J298)</f>
        <v/>
      </c>
      <c r="L298" s="39" t="inlineStr">
        <is>
          <t>推奨</t>
        </is>
      </c>
      <c r="M298" s="39" t="inlineStr">
        <is>
          <t>2人</t>
        </is>
      </c>
      <c r="N298" s="39" t="inlineStr">
        <is>
          <t>10分</t>
        </is>
      </c>
      <c r="O298" s="24" t="inlineStr"/>
      <c r="P298" s="24" t="inlineStr"/>
      <c r="Q298" s="38" t="inlineStr">
        <is>
          <t>未着手</t>
        </is>
      </c>
      <c r="R298" s="28" t="inlineStr"/>
    </row>
    <row r="299">
      <c r="A299" s="33" t="inlineStr">
        <is>
          <t>P7-05</t>
        </is>
      </c>
      <c r="B299" s="33" t="inlineStr">
        <is>
          <t>P7</t>
        </is>
      </c>
      <c r="C299" s="34" t="inlineStr">
        <is>
          <t>医療</t>
        </is>
      </c>
      <c r="D299" s="33" t="n">
        <v>2</v>
      </c>
      <c r="E299" s="35" t="inlineStr">
        <is>
          <t>歯科治療を完了する</t>
        </is>
      </c>
      <c r="F299" s="36" t="inlineStr">
        <is>
          <t>治療が終わり、定期クリーニングの状態になっている</t>
        </is>
      </c>
      <c r="G299" s="36" t="inlineStr">
        <is>
          <t>妊娠前に済ませるか</t>
        </is>
      </c>
      <c r="H299" s="36" t="inlineStr"/>
      <c r="I299" s="36" t="inlineStr">
        <is>
          <t>妊娠中はレントゲンや麻酔に制約があり治療しにくい。妊娠性歯肉炎は早産リスクと関連する</t>
        </is>
      </c>
      <c r="J299" s="33" t="n">
        <v>19</v>
      </c>
      <c r="K299" s="37">
        <f>EDATE('はじめに'!$C$5,J299)</f>
        <v/>
      </c>
      <c r="L299" s="33" t="inlineStr">
        <is>
          <t>推奨</t>
        </is>
      </c>
      <c r="M299" s="33" t="inlineStr">
        <is>
          <t>2人</t>
        </is>
      </c>
      <c r="N299" s="33" t="inlineStr">
        <is>
          <t>1〜2ヶ月</t>
        </is>
      </c>
      <c r="O299" s="36" t="inlineStr">
        <is>
          <t>1〜5万円</t>
        </is>
      </c>
      <c r="P299" s="36" t="inlineStr"/>
      <c r="Q299" s="38" t="inlineStr">
        <is>
          <t>未着手</t>
        </is>
      </c>
      <c r="R299" s="28" t="inlineStr"/>
    </row>
    <row r="300" outlineLevel="1">
      <c r="A300" s="39" t="inlineStr">
        <is>
          <t>P7-05-01</t>
        </is>
      </c>
      <c r="B300" s="39" t="inlineStr">
        <is>
          <t>P7</t>
        </is>
      </c>
      <c r="C300" s="22" t="inlineStr">
        <is>
          <t>医療</t>
        </is>
      </c>
      <c r="D300" s="39" t="n">
        <v>3</v>
      </c>
      <c r="E300" s="40" t="inlineStr">
        <is>
          <t>歯科検診を受ける</t>
        </is>
      </c>
      <c r="F300" s="24" t="inlineStr">
        <is>
          <t>要治療箇所が分かっている</t>
        </is>
      </c>
      <c r="G300" s="24" t="inlineStr"/>
      <c r="H300" s="24" t="inlineStr"/>
      <c r="I300" s="24" t="inlineStr"/>
      <c r="J300" s="39" t="n">
        <v>19</v>
      </c>
      <c r="K300" s="41">
        <f>EDATE('はじめに'!$C$5,J300)</f>
        <v/>
      </c>
      <c r="L300" s="39" t="inlineStr">
        <is>
          <t>推奨</t>
        </is>
      </c>
      <c r="M300" s="39" t="inlineStr">
        <is>
          <t>2人</t>
        </is>
      </c>
      <c r="N300" s="39" t="inlineStr">
        <is>
          <t>1時間</t>
        </is>
      </c>
      <c r="O300" s="24" t="inlineStr"/>
      <c r="P300" s="24" t="inlineStr"/>
      <c r="Q300" s="38" t="inlineStr">
        <is>
          <t>未着手</t>
        </is>
      </c>
      <c r="R300" s="28" t="inlineStr"/>
    </row>
    <row r="301" outlineLevel="1">
      <c r="A301" s="42" t="inlineStr">
        <is>
          <t>P7-05-02</t>
        </is>
      </c>
      <c r="B301" s="42" t="inlineStr">
        <is>
          <t>P7</t>
        </is>
      </c>
      <c r="C301" s="43" t="inlineStr">
        <is>
          <t>医療</t>
        </is>
      </c>
      <c r="D301" s="42" t="n">
        <v>3</v>
      </c>
      <c r="E301" s="44" t="inlineStr">
        <is>
          <t>虫歯・親知らず・歯周病の治療を完了する</t>
        </is>
      </c>
      <c r="F301" s="45" t="inlineStr">
        <is>
          <t>治療完了</t>
        </is>
      </c>
      <c r="G301" s="45" t="inlineStr"/>
      <c r="H301" s="45" t="inlineStr"/>
      <c r="I301" s="45" t="inlineStr"/>
      <c r="J301" s="42" t="n">
        <v>20</v>
      </c>
      <c r="K301" s="46">
        <f>EDATE('はじめに'!$C$5,J301)</f>
        <v/>
      </c>
      <c r="L301" s="42" t="inlineStr">
        <is>
          <t>推奨</t>
        </is>
      </c>
      <c r="M301" s="42" t="inlineStr">
        <is>
          <t>2人</t>
        </is>
      </c>
      <c r="N301" s="42" t="inlineStr">
        <is>
          <t>1〜2ヶ月</t>
        </is>
      </c>
      <c r="O301" s="45" t="inlineStr"/>
      <c r="P301" s="45" t="inlineStr"/>
      <c r="Q301" s="38" t="inlineStr">
        <is>
          <t>未着手</t>
        </is>
      </c>
      <c r="R301" s="28" t="inlineStr"/>
    </row>
    <row r="302">
      <c r="A302" s="33" t="inlineStr">
        <is>
          <t>P7-06</t>
        </is>
      </c>
      <c r="B302" s="33" t="inlineStr">
        <is>
          <t>P7</t>
        </is>
      </c>
      <c r="C302" s="34" t="inlineStr">
        <is>
          <t>医療</t>
        </is>
      </c>
      <c r="D302" s="33" t="n">
        <v>2</v>
      </c>
      <c r="E302" s="35" t="inlineStr">
        <is>
          <t>葉酸サプリを開始する（400μg/日）</t>
        </is>
      </c>
      <c r="F302" s="36" t="inlineStr">
        <is>
          <t>毎日飲む習慣ができている</t>
        </is>
      </c>
      <c r="G302" s="36" t="inlineStr">
        <is>
          <t>どのメーカーにするか（価格差が5倍ある）</t>
        </is>
      </c>
      <c r="H302" s="36" t="inlineStr">
        <is>
          <t>エレビット（バイエル）／ベルタ葉酸／mitas／ピジョン葉酸カルシウムプラス／ディアナチュラ／DHC／ネイチャーメイド</t>
        </is>
      </c>
      <c r="I302" s="36" t="inlineStr">
        <is>
          <t>必要なのはモノグルタミン酸型葉酸400μg。加えて鉄・ビタミンDがあるとよい。高額品と安価品で葉酸量は変わらないことが多いので、成分表で比較する。妊娠1ヶ月以上前〜妊娠12週まで</t>
        </is>
      </c>
      <c r="J302" s="33" t="n">
        <v>19</v>
      </c>
      <c r="K302" s="37">
        <f>EDATE('はじめに'!$C$5,J302)</f>
        <v/>
      </c>
      <c r="L302" s="33" t="inlineStr">
        <is>
          <t>推奨</t>
        </is>
      </c>
      <c r="M302" s="33" t="inlineStr">
        <is>
          <t>妊娠する側</t>
        </is>
      </c>
      <c r="N302" s="33" t="inlineStr">
        <is>
          <t>継続</t>
        </is>
      </c>
      <c r="O302" s="36" t="inlineStr">
        <is>
          <t>1,500〜5,000円/月</t>
        </is>
      </c>
      <c r="P302" s="36" t="inlineStr"/>
      <c r="Q302" s="38" t="inlineStr">
        <is>
          <t>未着手</t>
        </is>
      </c>
      <c r="R302" s="28" t="inlineStr"/>
    </row>
    <row r="303" outlineLevel="1">
      <c r="A303" s="42" t="inlineStr">
        <is>
          <t>P7-06-01</t>
        </is>
      </c>
      <c r="B303" s="42" t="inlineStr">
        <is>
          <t>P7</t>
        </is>
      </c>
      <c r="C303" s="43" t="inlineStr">
        <is>
          <t>医療</t>
        </is>
      </c>
      <c r="D303" s="42" t="n">
        <v>3</v>
      </c>
      <c r="E303" s="44" t="inlineStr">
        <is>
          <t>成分表（葉酸の型と量・鉄・ビタミンD）で3製品を比較する</t>
        </is>
      </c>
      <c r="F303" s="45" t="inlineStr">
        <is>
          <t>比較して選べている</t>
        </is>
      </c>
      <c r="G303" s="45" t="inlineStr"/>
      <c r="H303" s="45" t="inlineStr"/>
      <c r="I303" s="45" t="inlineStr"/>
      <c r="J303" s="42" t="n">
        <v>19</v>
      </c>
      <c r="K303" s="46">
        <f>EDATE('はじめに'!$C$5,J303)</f>
        <v/>
      </c>
      <c r="L303" s="42" t="inlineStr">
        <is>
          <t>推奨</t>
        </is>
      </c>
      <c r="M303" s="42" t="inlineStr">
        <is>
          <t>妊娠する側</t>
        </is>
      </c>
      <c r="N303" s="42" t="inlineStr">
        <is>
          <t>1時間</t>
        </is>
      </c>
      <c r="O303" s="45" t="inlineStr"/>
      <c r="P303" s="45" t="inlineStr"/>
      <c r="Q303" s="38" t="inlineStr">
        <is>
          <t>未着手</t>
        </is>
      </c>
      <c r="R303" s="28" t="inlineStr"/>
    </row>
    <row r="304" outlineLevel="1">
      <c r="A304" s="39" t="inlineStr">
        <is>
          <t>P7-06-02</t>
        </is>
      </c>
      <c r="B304" s="39" t="inlineStr">
        <is>
          <t>P7</t>
        </is>
      </c>
      <c r="C304" s="22" t="inlineStr">
        <is>
          <t>医療</t>
        </is>
      </c>
      <c r="D304" s="39" t="n">
        <v>3</v>
      </c>
      <c r="E304" s="40" t="inlineStr">
        <is>
          <t>定期購入を設定して飲み忘れない仕組みを作る</t>
        </is>
      </c>
      <c r="F304" s="24" t="inlineStr">
        <is>
          <t>在庫が切れない</t>
        </is>
      </c>
      <c r="G304" s="24" t="inlineStr"/>
      <c r="H304" s="24" t="inlineStr"/>
      <c r="I304" s="24" t="inlineStr"/>
      <c r="J304" s="39" t="n">
        <v>19</v>
      </c>
      <c r="K304" s="41">
        <f>EDATE('はじめに'!$C$5,J304)</f>
        <v/>
      </c>
      <c r="L304" s="39" t="inlineStr">
        <is>
          <t>推奨</t>
        </is>
      </c>
      <c r="M304" s="39" t="inlineStr">
        <is>
          <t>妊娠する側</t>
        </is>
      </c>
      <c r="N304" s="39" t="inlineStr">
        <is>
          <t>30分</t>
        </is>
      </c>
      <c r="O304" s="24" t="inlineStr"/>
      <c r="P304" s="24" t="inlineStr"/>
      <c r="Q304" s="38" t="inlineStr">
        <is>
          <t>未着手</t>
        </is>
      </c>
      <c r="R304" s="28" t="inlineStr"/>
    </row>
    <row r="305">
      <c r="A305" s="33" t="inlineStr">
        <is>
          <t>P7-07</t>
        </is>
      </c>
      <c r="B305" s="33" t="inlineStr">
        <is>
          <t>P7</t>
        </is>
      </c>
      <c r="C305" s="34" t="inlineStr">
        <is>
          <t>生活</t>
        </is>
      </c>
      <c r="D305" s="33" t="n">
        <v>2</v>
      </c>
      <c r="E305" s="35" t="inlineStr">
        <is>
          <t>生活習慣を整える</t>
        </is>
      </c>
      <c r="F305" s="36" t="inlineStr">
        <is>
          <t>禁煙・減酒・体重・運動の目標が決まり、実行できている</t>
        </is>
      </c>
      <c r="G305" s="36" t="inlineStr">
        <is>
          <t>何をどこまで変えるか</t>
        </is>
      </c>
      <c r="H305" s="36" t="inlineStr"/>
      <c r="I305" s="36" t="inlineStr">
        <is>
          <t>パートナー側の喫煙も精子に影響する。受動喫煙は出生後のSIDSリスクにもなる。BMI 18.5〜25 が目安</t>
        </is>
      </c>
      <c r="J305" s="33" t="n">
        <v>19</v>
      </c>
      <c r="K305" s="37">
        <f>EDATE('はじめに'!$C$5,J305)</f>
        <v/>
      </c>
      <c r="L305" s="33" t="inlineStr">
        <is>
          <t>推奨</t>
        </is>
      </c>
      <c r="M305" s="33" t="inlineStr">
        <is>
          <t>2人</t>
        </is>
      </c>
      <c r="N305" s="33" t="inlineStr">
        <is>
          <t>継続</t>
        </is>
      </c>
      <c r="O305" s="36" t="inlineStr"/>
      <c r="P305" s="36" t="inlineStr"/>
      <c r="Q305" s="38" t="inlineStr">
        <is>
          <t>未着手</t>
        </is>
      </c>
      <c r="R305" s="28" t="inlineStr"/>
    </row>
    <row r="306" outlineLevel="1">
      <c r="A306" s="39" t="inlineStr">
        <is>
          <t>P7-07-01</t>
        </is>
      </c>
      <c r="B306" s="39" t="inlineStr">
        <is>
          <t>P7</t>
        </is>
      </c>
      <c r="C306" s="22" t="inlineStr">
        <is>
          <t>生活</t>
        </is>
      </c>
      <c r="D306" s="39" t="n">
        <v>3</v>
      </c>
      <c r="E306" s="40" t="inlineStr">
        <is>
          <t>禁煙する（2人とも。加熱式たばこも含む）</t>
        </is>
      </c>
      <c r="F306" s="24" t="inlineStr">
        <is>
          <t>禁煙できている</t>
        </is>
      </c>
      <c r="G306" s="24" t="inlineStr"/>
      <c r="H306" s="24" t="inlineStr"/>
      <c r="I306" s="24" t="inlineStr"/>
      <c r="J306" s="39" t="n">
        <v>19</v>
      </c>
      <c r="K306" s="41">
        <f>EDATE('はじめに'!$C$5,J306)</f>
        <v/>
      </c>
      <c r="L306" s="39" t="inlineStr">
        <is>
          <t>推奨</t>
        </is>
      </c>
      <c r="M306" s="39" t="inlineStr">
        <is>
          <t>2人</t>
        </is>
      </c>
      <c r="N306" s="39" t="inlineStr">
        <is>
          <t>継続</t>
        </is>
      </c>
      <c r="O306" s="24" t="inlineStr"/>
      <c r="P306" s="24" t="inlineStr"/>
      <c r="Q306" s="38" t="inlineStr">
        <is>
          <t>未着手</t>
        </is>
      </c>
      <c r="R306" s="28" t="inlineStr"/>
    </row>
    <row r="307" outlineLevel="1">
      <c r="A307" s="42" t="inlineStr">
        <is>
          <t>P7-07-02</t>
        </is>
      </c>
      <c r="B307" s="42" t="inlineStr">
        <is>
          <t>P7</t>
        </is>
      </c>
      <c r="C307" s="43" t="inlineStr">
        <is>
          <t>生活</t>
        </is>
      </c>
      <c r="D307" s="42" t="n">
        <v>3</v>
      </c>
      <c r="E307" s="44" t="inlineStr">
        <is>
          <t>飲酒を減らす</t>
        </is>
      </c>
      <c r="F307" s="45" t="inlineStr">
        <is>
          <t>頻度と量が減っている</t>
        </is>
      </c>
      <c r="G307" s="45" t="inlineStr"/>
      <c r="H307" s="45" t="inlineStr"/>
      <c r="I307" s="45" t="inlineStr"/>
      <c r="J307" s="42" t="n">
        <v>19</v>
      </c>
      <c r="K307" s="46">
        <f>EDATE('はじめに'!$C$5,J307)</f>
        <v/>
      </c>
      <c r="L307" s="42" t="inlineStr">
        <is>
          <t>推奨</t>
        </is>
      </c>
      <c r="M307" s="42" t="inlineStr">
        <is>
          <t>2人</t>
        </is>
      </c>
      <c r="N307" s="42" t="inlineStr">
        <is>
          <t>継続</t>
        </is>
      </c>
      <c r="O307" s="45" t="inlineStr"/>
      <c r="P307" s="45" t="inlineStr"/>
      <c r="Q307" s="38" t="inlineStr">
        <is>
          <t>未着手</t>
        </is>
      </c>
      <c r="R307" s="28" t="inlineStr"/>
    </row>
    <row r="308" outlineLevel="1">
      <c r="A308" s="39" t="inlineStr">
        <is>
          <t>P7-07-03</t>
        </is>
      </c>
      <c r="B308" s="39" t="inlineStr">
        <is>
          <t>P7</t>
        </is>
      </c>
      <c r="C308" s="22" t="inlineStr">
        <is>
          <t>生活</t>
        </is>
      </c>
      <c r="D308" s="39" t="n">
        <v>3</v>
      </c>
      <c r="E308" s="40" t="inlineStr">
        <is>
          <t>体重をBMI 18.5〜25の範囲に調整する</t>
        </is>
      </c>
      <c r="F308" s="24" t="inlineStr">
        <is>
          <t>範囲に入っている</t>
        </is>
      </c>
      <c r="G308" s="24" t="inlineStr"/>
      <c r="H308" s="24" t="inlineStr"/>
      <c r="I308" s="24" t="inlineStr"/>
      <c r="J308" s="39" t="n">
        <v>19</v>
      </c>
      <c r="K308" s="41">
        <f>EDATE('はじめに'!$C$5,J308)</f>
        <v/>
      </c>
      <c r="L308" s="39" t="inlineStr">
        <is>
          <t>任意</t>
        </is>
      </c>
      <c r="M308" s="39" t="inlineStr">
        <is>
          <t>2人</t>
        </is>
      </c>
      <c r="N308" s="39" t="inlineStr">
        <is>
          <t>継続</t>
        </is>
      </c>
      <c r="O308" s="24" t="inlineStr"/>
      <c r="P308" s="24" t="inlineStr"/>
      <c r="Q308" s="38" t="inlineStr">
        <is>
          <t>未着手</t>
        </is>
      </c>
      <c r="R308" s="28" t="inlineStr"/>
    </row>
    <row r="309" outlineLevel="1">
      <c r="A309" s="42" t="inlineStr">
        <is>
          <t>P7-07-04</t>
        </is>
      </c>
      <c r="B309" s="42" t="inlineStr">
        <is>
          <t>P7</t>
        </is>
      </c>
      <c r="C309" s="43" t="inlineStr">
        <is>
          <t>生活</t>
        </is>
      </c>
      <c r="D309" s="42" t="n">
        <v>3</v>
      </c>
      <c r="E309" s="44" t="inlineStr">
        <is>
          <t>週2〜3回の運動習慣をつくる</t>
        </is>
      </c>
      <c r="F309" s="45" t="inlineStr">
        <is>
          <t>習慣化している</t>
        </is>
      </c>
      <c r="G309" s="45" t="inlineStr"/>
      <c r="H309" s="45" t="inlineStr"/>
      <c r="I309" s="45" t="inlineStr"/>
      <c r="J309" s="42" t="n">
        <v>19</v>
      </c>
      <c r="K309" s="46">
        <f>EDATE('はじめに'!$C$5,J309)</f>
        <v/>
      </c>
      <c r="L309" s="42" t="inlineStr">
        <is>
          <t>任意</t>
        </is>
      </c>
      <c r="M309" s="42" t="inlineStr">
        <is>
          <t>2人</t>
        </is>
      </c>
      <c r="N309" s="42" t="inlineStr">
        <is>
          <t>継続</t>
        </is>
      </c>
      <c r="O309" s="45" t="inlineStr"/>
      <c r="P309" s="45" t="inlineStr"/>
      <c r="Q309" s="38" t="inlineStr">
        <is>
          <t>未着手</t>
        </is>
      </c>
      <c r="R309" s="28" t="inlineStr"/>
    </row>
    <row r="310" outlineLevel="1">
      <c r="A310" s="39" t="inlineStr">
        <is>
          <t>P7-07-05</t>
        </is>
      </c>
      <c r="B310" s="39" t="inlineStr">
        <is>
          <t>P7</t>
        </is>
      </c>
      <c r="C310" s="22" t="inlineStr">
        <is>
          <t>生活</t>
        </is>
      </c>
      <c r="D310" s="39" t="n">
        <v>3</v>
      </c>
      <c r="E310" s="40" t="inlineStr">
        <is>
          <t>カフェインを1日200mg程度までに抑える</t>
        </is>
      </c>
      <c r="F310" s="24" t="inlineStr">
        <is>
          <t>把握して調整できている</t>
        </is>
      </c>
      <c r="G310" s="24" t="inlineStr"/>
      <c r="H310" s="24" t="inlineStr"/>
      <c r="I310" s="24" t="inlineStr"/>
      <c r="J310" s="39" t="n">
        <v>19</v>
      </c>
      <c r="K310" s="41">
        <f>EDATE('はじめに'!$C$5,J310)</f>
        <v/>
      </c>
      <c r="L310" s="39" t="inlineStr">
        <is>
          <t>任意</t>
        </is>
      </c>
      <c r="M310" s="39" t="inlineStr">
        <is>
          <t>妊娠する側</t>
        </is>
      </c>
      <c r="N310" s="39" t="inlineStr">
        <is>
          <t>継続</t>
        </is>
      </c>
      <c r="O310" s="24" t="inlineStr"/>
      <c r="P310" s="24" t="inlineStr"/>
      <c r="Q310" s="38" t="inlineStr">
        <is>
          <t>未着手</t>
        </is>
      </c>
      <c r="R310" s="28" t="inlineStr"/>
    </row>
    <row r="311">
      <c r="A311" s="33" t="inlineStr">
        <is>
          <t>P7-08</t>
        </is>
      </c>
      <c r="B311" s="33" t="inlineStr">
        <is>
          <t>P7</t>
        </is>
      </c>
      <c r="C311" s="34" t="inlineStr">
        <is>
          <t>妊活</t>
        </is>
      </c>
      <c r="D311" s="33" t="n">
        <v>2</v>
      </c>
      <c r="E311" s="35" t="inlineStr">
        <is>
          <t>基礎体温・排卵日の把握を始める</t>
        </is>
      </c>
      <c r="F311" s="36" t="inlineStr">
        <is>
          <t>排卵日を推定できる状態になっている</t>
        </is>
      </c>
      <c r="G311" s="36" t="inlineStr">
        <is>
          <t>アプリと検査薬をどう使うか</t>
        </is>
      </c>
      <c r="H311" s="36" t="inlineStr">
        <is>
          <t>アプリ：ルナルナ／コウノトリ／Flo　検査薬：ドゥーテストLHa／チェックワンLH／Pチェック・LH</t>
        </is>
      </c>
      <c r="I311" s="36" t="inlineStr">
        <is>
          <t>基礎体温は毎朝の測定が義務化するとストレスになる。排卵検査薬のほうが実用的で負担が軽い</t>
        </is>
      </c>
      <c r="J311" s="33" t="n">
        <v>19</v>
      </c>
      <c r="K311" s="37">
        <f>EDATE('はじめに'!$C$5,J311)</f>
        <v/>
      </c>
      <c r="L311" s="33" t="inlineStr">
        <is>
          <t>推奨</t>
        </is>
      </c>
      <c r="M311" s="33" t="inlineStr">
        <is>
          <t>妊娠する側</t>
        </is>
      </c>
      <c r="N311" s="33" t="inlineStr">
        <is>
          <t>2〜3周期</t>
        </is>
      </c>
      <c r="O311" s="36" t="inlineStr">
        <is>
          <t>2,000〜5,000円/月</t>
        </is>
      </c>
      <c r="P311" s="36" t="inlineStr"/>
      <c r="Q311" s="38" t="inlineStr">
        <is>
          <t>未着手</t>
        </is>
      </c>
      <c r="R311" s="28" t="inlineStr"/>
    </row>
    <row r="312" outlineLevel="1">
      <c r="A312" s="39" t="inlineStr">
        <is>
          <t>P7-08-01</t>
        </is>
      </c>
      <c r="B312" s="39" t="inlineStr">
        <is>
          <t>P7</t>
        </is>
      </c>
      <c r="C312" s="22" t="inlineStr">
        <is>
          <t>妊活</t>
        </is>
      </c>
      <c r="D312" s="39" t="n">
        <v>3</v>
      </c>
      <c r="E312" s="40" t="inlineStr">
        <is>
          <t>アプリを入れて生理周期を記録し始める</t>
        </is>
      </c>
      <c r="F312" s="24" t="inlineStr">
        <is>
          <t>2周期分の記録がある</t>
        </is>
      </c>
      <c r="G312" s="24" t="inlineStr"/>
      <c r="H312" s="24" t="inlineStr"/>
      <c r="I312" s="24" t="inlineStr"/>
      <c r="J312" s="39" t="n">
        <v>19</v>
      </c>
      <c r="K312" s="41">
        <f>EDATE('はじめに'!$C$5,J312)</f>
        <v/>
      </c>
      <c r="L312" s="39" t="inlineStr">
        <is>
          <t>推奨</t>
        </is>
      </c>
      <c r="M312" s="39" t="inlineStr">
        <is>
          <t>妊娠する側</t>
        </is>
      </c>
      <c r="N312" s="39" t="inlineStr">
        <is>
          <t>継続</t>
        </is>
      </c>
      <c r="O312" s="24" t="inlineStr"/>
      <c r="P312" s="24" t="inlineStr"/>
      <c r="Q312" s="38" t="inlineStr">
        <is>
          <t>未着手</t>
        </is>
      </c>
      <c r="R312" s="28" t="inlineStr"/>
    </row>
    <row r="313" outlineLevel="1">
      <c r="A313" s="42" t="inlineStr">
        <is>
          <t>P7-08-02</t>
        </is>
      </c>
      <c r="B313" s="42" t="inlineStr">
        <is>
          <t>P7</t>
        </is>
      </c>
      <c r="C313" s="43" t="inlineStr">
        <is>
          <t>妊活</t>
        </is>
      </c>
      <c r="D313" s="42" t="n">
        <v>3</v>
      </c>
      <c r="E313" s="44" t="inlineStr">
        <is>
          <t>排卵検査薬を試して、陽性のタイミングを掴む</t>
        </is>
      </c>
      <c r="F313" s="45" t="inlineStr">
        <is>
          <t>排卵のタイミングが分かる</t>
        </is>
      </c>
      <c r="G313" s="45" t="inlineStr"/>
      <c r="H313" s="45" t="inlineStr"/>
      <c r="I313" s="45" t="inlineStr"/>
      <c r="J313" s="42" t="n">
        <v>20</v>
      </c>
      <c r="K313" s="46">
        <f>EDATE('はじめに'!$C$5,J313)</f>
        <v/>
      </c>
      <c r="L313" s="42" t="inlineStr">
        <is>
          <t>任意</t>
        </is>
      </c>
      <c r="M313" s="42" t="inlineStr">
        <is>
          <t>妊娠する側</t>
        </is>
      </c>
      <c r="N313" s="42" t="inlineStr">
        <is>
          <t>1周期</t>
        </is>
      </c>
      <c r="O313" s="45" t="inlineStr"/>
      <c r="P313" s="45" t="inlineStr"/>
      <c r="Q313" s="38" t="inlineStr">
        <is>
          <t>未着手</t>
        </is>
      </c>
      <c r="R313" s="28" t="inlineStr"/>
    </row>
    <row r="314" outlineLevel="1">
      <c r="A314" s="39" t="inlineStr">
        <is>
          <t>P7-08-03</t>
        </is>
      </c>
      <c r="B314" s="39" t="inlineStr">
        <is>
          <t>P7</t>
        </is>
      </c>
      <c r="C314" s="22" t="inlineStr">
        <is>
          <t>妊活</t>
        </is>
      </c>
      <c r="D314" s="39" t="n">
        <v>3</v>
      </c>
      <c r="E314" s="40" t="inlineStr">
        <is>
          <t>パートナーもアプリを共有して周期を把握する</t>
        </is>
      </c>
      <c r="F314" s="24" t="inlineStr">
        <is>
          <t>2人が同じ情報を見ている</t>
        </is>
      </c>
      <c r="G314" s="24" t="inlineStr"/>
      <c r="H314" s="24" t="inlineStr"/>
      <c r="I314" s="24" t="inlineStr"/>
      <c r="J314" s="39" t="n">
        <v>20</v>
      </c>
      <c r="K314" s="41">
        <f>EDATE('はじめに'!$C$5,J314)</f>
        <v/>
      </c>
      <c r="L314" s="39" t="inlineStr">
        <is>
          <t>推奨</t>
        </is>
      </c>
      <c r="M314" s="39" t="inlineStr">
        <is>
          <t>2人</t>
        </is>
      </c>
      <c r="N314" s="39" t="inlineStr">
        <is>
          <t>15分</t>
        </is>
      </c>
      <c r="O314" s="24" t="inlineStr"/>
      <c r="P314" s="24" t="inlineStr"/>
      <c r="Q314" s="38" t="inlineStr">
        <is>
          <t>未着手</t>
        </is>
      </c>
      <c r="R314" s="28" t="inlineStr"/>
    </row>
    <row r="315">
      <c r="A315" s="33" t="inlineStr">
        <is>
          <t>P7-09</t>
        </is>
      </c>
      <c r="B315" s="33" t="inlineStr">
        <is>
          <t>P7</t>
        </is>
      </c>
      <c r="C315" s="34" t="inlineStr">
        <is>
          <t>医療</t>
        </is>
      </c>
      <c r="D315" s="33" t="n">
        <v>2</v>
      </c>
      <c r="E315" s="35" t="inlineStr">
        <is>
          <t>持病・常用薬を医師に確認する</t>
        </is>
      </c>
      <c r="F315" s="36" t="inlineStr">
        <is>
          <t>妊娠可能な処方に切り替わっている</t>
        </is>
      </c>
      <c r="G315" s="36" t="inlineStr">
        <is>
          <t>今の薬のまま妊娠していいか</t>
        </is>
      </c>
      <c r="H315" s="36" t="inlineStr"/>
      <c r="I315" s="36" t="inlineStr">
        <is>
          <t>自己判断で中断しない。精神科の薬、皮膚科の薬、リウマチ薬などは特に確認が必要</t>
        </is>
      </c>
      <c r="J315" s="33" t="n">
        <v>19</v>
      </c>
      <c r="K315" s="37">
        <f>EDATE('はじめに'!$C$5,J315)</f>
        <v/>
      </c>
      <c r="L315" s="33" t="inlineStr">
        <is>
          <t>推奨</t>
        </is>
      </c>
      <c r="M315" s="33" t="inlineStr">
        <is>
          <t>2人</t>
        </is>
      </c>
      <c r="N315" s="33" t="inlineStr">
        <is>
          <t>2週間</t>
        </is>
      </c>
      <c r="O315" s="36" t="inlineStr"/>
      <c r="P315" s="36" t="inlineStr"/>
      <c r="Q315" s="38" t="inlineStr">
        <is>
          <t>未着手</t>
        </is>
      </c>
      <c r="R315" s="28" t="inlineStr"/>
    </row>
    <row r="316">
      <c r="A316" s="33" t="inlineStr">
        <is>
          <t>P7-10</t>
        </is>
      </c>
      <c r="B316" s="33" t="inlineStr">
        <is>
          <t>P7</t>
        </is>
      </c>
      <c r="C316" s="34" t="inlineStr">
        <is>
          <t>お金</t>
        </is>
      </c>
      <c r="D316" s="33" t="n">
        <v>2</v>
      </c>
      <c r="E316" s="35" t="inlineStr">
        <is>
          <t>不妊治療の保険適用の範囲を把握する</t>
        </is>
      </c>
      <c r="F316" s="36" t="inlineStr">
        <is>
          <t>何回・何歳まで保険が効くか2人が理解している</t>
        </is>
      </c>
      <c r="G316" s="36" t="inlineStr">
        <is>
          <t>どこまで保険が効くか、いつまでに始める必要があるか</t>
        </is>
      </c>
      <c r="H316" s="36" t="inlineStr">
        <is>
          <t>タイミング法・人工授精・体外受精・顕微授精は保険適用（2022年4月〜）</t>
        </is>
      </c>
      <c r="I316" s="36" t="inlineStr">
        <is>
          <t>女性が43歳未満で治療開始が条件。体外受精は40歳未満で子1人につき6回、40〜43歳未満で3回まで。年齢が要件なので逆算が必要</t>
        </is>
      </c>
      <c r="J316" s="33" t="n">
        <v>20</v>
      </c>
      <c r="K316" s="37">
        <f>EDATE('はじめに'!$C$5,J316)</f>
        <v/>
      </c>
      <c r="L316" s="33" t="inlineStr">
        <is>
          <t>推奨</t>
        </is>
      </c>
      <c r="M316" s="33" t="inlineStr">
        <is>
          <t>2人</t>
        </is>
      </c>
      <c r="N316" s="33" t="inlineStr">
        <is>
          <t>2時間</t>
        </is>
      </c>
      <c r="O316" s="36" t="inlineStr"/>
      <c r="P316" s="36" t="inlineStr"/>
      <c r="Q316" s="38" t="inlineStr">
        <is>
          <t>未着手</t>
        </is>
      </c>
      <c r="R316" s="28" t="inlineStr"/>
    </row>
    <row r="317" outlineLevel="1">
      <c r="A317" s="42" t="inlineStr">
        <is>
          <t>P7-10-01</t>
        </is>
      </c>
      <c r="B317" s="42" t="inlineStr">
        <is>
          <t>P7</t>
        </is>
      </c>
      <c r="C317" s="43" t="inlineStr">
        <is>
          <t>お金</t>
        </is>
      </c>
      <c r="D317" s="42" t="n">
        <v>3</v>
      </c>
      <c r="E317" s="44" t="inlineStr">
        <is>
          <t>年齢と回数上限から「いつまでに始めるべきか」を逆算する</t>
        </is>
      </c>
      <c r="F317" s="45" t="inlineStr">
        <is>
          <t>期限が数字で出ている</t>
        </is>
      </c>
      <c r="G317" s="45" t="inlineStr"/>
      <c r="H317" s="45" t="inlineStr"/>
      <c r="I317" s="45" t="inlineStr"/>
      <c r="J317" s="42" t="n">
        <v>20</v>
      </c>
      <c r="K317" s="46">
        <f>EDATE('はじめに'!$C$5,J317)</f>
        <v/>
      </c>
      <c r="L317" s="42" t="inlineStr">
        <is>
          <t>推奨</t>
        </is>
      </c>
      <c r="M317" s="42" t="inlineStr">
        <is>
          <t>2人</t>
        </is>
      </c>
      <c r="N317" s="42" t="inlineStr">
        <is>
          <t>1時間</t>
        </is>
      </c>
      <c r="O317" s="45" t="inlineStr"/>
      <c r="P317" s="45" t="inlineStr"/>
      <c r="Q317" s="38" t="inlineStr">
        <is>
          <t>未着手</t>
        </is>
      </c>
      <c r="R317" s="28" t="inlineStr"/>
    </row>
    <row r="318" outlineLevel="1">
      <c r="A318" s="39" t="inlineStr">
        <is>
          <t>P7-10-02</t>
        </is>
      </c>
      <c r="B318" s="39" t="inlineStr">
        <is>
          <t>P7</t>
        </is>
      </c>
      <c r="C318" s="22" t="inlineStr">
        <is>
          <t>お金</t>
        </is>
      </c>
      <c r="D318" s="39" t="n">
        <v>3</v>
      </c>
      <c r="E318" s="40" t="inlineStr">
        <is>
          <t>自治体の先進医療への上乗せ助成の有無を調べる</t>
        </is>
      </c>
      <c r="F318" s="24" t="inlineStr">
        <is>
          <t>使える助成が分かっている</t>
        </is>
      </c>
      <c r="G318" s="24" t="inlineStr"/>
      <c r="H318" s="24" t="inlineStr"/>
      <c r="I318" s="24" t="inlineStr"/>
      <c r="J318" s="39" t="n">
        <v>20</v>
      </c>
      <c r="K318" s="41">
        <f>EDATE('はじめに'!$C$5,J318)</f>
        <v/>
      </c>
      <c r="L318" s="39" t="inlineStr">
        <is>
          <t>任意</t>
        </is>
      </c>
      <c r="M318" s="39" t="inlineStr">
        <is>
          <t>どちらか</t>
        </is>
      </c>
      <c r="N318" s="39" t="inlineStr">
        <is>
          <t>1時間</t>
        </is>
      </c>
      <c r="O318" s="24" t="inlineStr"/>
      <c r="P318" s="24" t="inlineStr"/>
      <c r="Q318" s="38" t="inlineStr">
        <is>
          <t>未着手</t>
        </is>
      </c>
      <c r="R318" s="28" t="inlineStr"/>
    </row>
    <row r="319">
      <c r="A319" s="33" t="inlineStr">
        <is>
          <t>P7-11</t>
        </is>
      </c>
      <c r="B319" s="33" t="inlineStr">
        <is>
          <t>P7</t>
        </is>
      </c>
      <c r="C319" s="34" t="inlineStr">
        <is>
          <t>お金</t>
        </is>
      </c>
      <c r="D319" s="33" t="n">
        <v>2</v>
      </c>
      <c r="E319" s="35" t="inlineStr">
        <is>
          <t>民間医療保険に加入する（妊娠前に）</t>
        </is>
      </c>
      <c r="F319" s="36" t="inlineStr">
        <is>
          <t>帝王切開・切迫早産に備えた保障に入っている</t>
        </is>
      </c>
      <c r="G319" s="36" t="inlineStr">
        <is>
          <t>入るか、どの保障にするか</t>
        </is>
      </c>
      <c r="H319" s="36" t="inlineStr">
        <is>
          <t>医療保険（帝王切開・切迫早産の入院）／女性疾病特約／先進医療特約</t>
        </is>
      </c>
      <c r="I319" s="36" t="inlineStr">
        <is>
          <t>妊娠が判明すると子宮関連が不担保になるのが一般的。入るならここが最後のタイミング。先進医療特約は不妊治療でも使える場合がある</t>
        </is>
      </c>
      <c r="J319" s="33" t="n">
        <v>20</v>
      </c>
      <c r="K319" s="37">
        <f>EDATE('はじめに'!$C$5,J319)</f>
        <v/>
      </c>
      <c r="L319" s="33" t="inlineStr">
        <is>
          <t>推奨</t>
        </is>
      </c>
      <c r="M319" s="33" t="inlineStr">
        <is>
          <t>妊娠する側</t>
        </is>
      </c>
      <c r="N319" s="33" t="inlineStr">
        <is>
          <t>2週間</t>
        </is>
      </c>
      <c r="O319" s="36" t="inlineStr"/>
      <c r="P319" s="36" t="inlineStr">
        <is>
          <t>保険の棚卸し</t>
        </is>
      </c>
      <c r="Q319" s="38" t="inlineStr">
        <is>
          <t>未着手</t>
        </is>
      </c>
      <c r="R319" s="28" t="inlineStr"/>
    </row>
    <row r="320">
      <c r="A320" s="33" t="inlineStr">
        <is>
          <t>P7-12</t>
        </is>
      </c>
      <c r="B320" s="33" t="inlineStr">
        <is>
          <t>P7</t>
        </is>
      </c>
      <c r="C320" s="34" t="inlineStr">
        <is>
          <t>仕事</t>
        </is>
      </c>
      <c r="D320" s="33" t="n">
        <v>2</v>
      </c>
      <c r="E320" s="35" t="inlineStr">
        <is>
          <t>勤務先の産休・育休・不妊治療の制度を2人とも確認する</t>
        </is>
      </c>
      <c r="F320" s="36" t="inlineStr">
        <is>
          <t>2人分の制度が1枚にまとまっている</t>
        </is>
      </c>
      <c r="G320" s="36" t="inlineStr">
        <is>
          <t>何が使えるか、いつ申請するか</t>
        </is>
      </c>
      <c r="H320" s="36" t="inlineStr">
        <is>
          <t>産後パパ育休／育休の分割取得／独自の上乗せ手当／時短の期間／不妊治療休暇／時間単位有給</t>
        </is>
      </c>
      <c r="I320" s="36" t="inlineStr">
        <is>
          <t>パートナー側の会社の制度確認が抜けやすい。就業規則を実際に読む</t>
        </is>
      </c>
      <c r="J320" s="33" t="n">
        <v>21</v>
      </c>
      <c r="K320" s="37">
        <f>EDATE('はじめに'!$C$5,J320)</f>
        <v/>
      </c>
      <c r="L320" s="33" t="inlineStr">
        <is>
          <t>推奨</t>
        </is>
      </c>
      <c r="M320" s="33" t="inlineStr">
        <is>
          <t>2人</t>
        </is>
      </c>
      <c r="N320" s="33" t="inlineStr">
        <is>
          <t>1週間</t>
        </is>
      </c>
      <c r="O320" s="36" t="inlineStr"/>
      <c r="P320" s="36" t="inlineStr"/>
      <c r="Q320" s="38" t="inlineStr">
        <is>
          <t>未着手</t>
        </is>
      </c>
      <c r="R320" s="28" t="inlineStr"/>
    </row>
    <row r="321" outlineLevel="1">
      <c r="A321" s="42" t="inlineStr">
        <is>
          <t>P7-12-01</t>
        </is>
      </c>
      <c r="B321" s="42" t="inlineStr">
        <is>
          <t>P7</t>
        </is>
      </c>
      <c r="C321" s="43" t="inlineStr">
        <is>
          <t>仕事</t>
        </is>
      </c>
      <c r="D321" s="42" t="n">
        <v>3</v>
      </c>
      <c r="E321" s="44" t="inlineStr">
        <is>
          <t>各自が就業規則の該当箇所を読む</t>
        </is>
      </c>
      <c r="F321" s="45" t="inlineStr">
        <is>
          <t>内容を把握している</t>
        </is>
      </c>
      <c r="G321" s="45" t="inlineStr"/>
      <c r="H321" s="45" t="inlineStr"/>
      <c r="I321" s="45" t="inlineStr"/>
      <c r="J321" s="42" t="n">
        <v>21</v>
      </c>
      <c r="K321" s="46">
        <f>EDATE('はじめに'!$C$5,J321)</f>
        <v/>
      </c>
      <c r="L321" s="42" t="inlineStr">
        <is>
          <t>推奨</t>
        </is>
      </c>
      <c r="M321" s="42" t="inlineStr">
        <is>
          <t>2人</t>
        </is>
      </c>
      <c r="N321" s="42" t="inlineStr">
        <is>
          <t>2時間</t>
        </is>
      </c>
      <c r="O321" s="45" t="inlineStr"/>
      <c r="P321" s="45" t="inlineStr"/>
      <c r="Q321" s="38" t="inlineStr">
        <is>
          <t>未着手</t>
        </is>
      </c>
      <c r="R321" s="28" t="inlineStr"/>
    </row>
    <row r="322" outlineLevel="1">
      <c r="A322" s="39" t="inlineStr">
        <is>
          <t>P7-12-02</t>
        </is>
      </c>
      <c r="B322" s="39" t="inlineStr">
        <is>
          <t>P7</t>
        </is>
      </c>
      <c r="C322" s="22" t="inlineStr">
        <is>
          <t>仕事</t>
        </is>
      </c>
      <c r="D322" s="39" t="n">
        <v>3</v>
      </c>
      <c r="E322" s="40" t="inlineStr">
        <is>
          <t>人事に確認が必要な点を洗い出して質問する</t>
        </is>
      </c>
      <c r="F322" s="24" t="inlineStr">
        <is>
          <t>不明点が解消している</t>
        </is>
      </c>
      <c r="G322" s="24" t="inlineStr"/>
      <c r="H322" s="24" t="inlineStr"/>
      <c r="I322" s="24" t="inlineStr"/>
      <c r="J322" s="39" t="n">
        <v>21</v>
      </c>
      <c r="K322" s="41">
        <f>EDATE('はじめに'!$C$5,J322)</f>
        <v/>
      </c>
      <c r="L322" s="39" t="inlineStr">
        <is>
          <t>推奨</t>
        </is>
      </c>
      <c r="M322" s="39" t="inlineStr">
        <is>
          <t>2人</t>
        </is>
      </c>
      <c r="N322" s="39" t="inlineStr">
        <is>
          <t>1時間</t>
        </is>
      </c>
      <c r="O322" s="24" t="inlineStr"/>
      <c r="P322" s="24" t="inlineStr"/>
      <c r="Q322" s="38" t="inlineStr">
        <is>
          <t>未着手</t>
        </is>
      </c>
      <c r="R322" s="28" t="inlineStr"/>
    </row>
    <row r="323" outlineLevel="1">
      <c r="A323" s="42" t="inlineStr">
        <is>
          <t>P7-12-03</t>
        </is>
      </c>
      <c r="B323" s="42" t="inlineStr">
        <is>
          <t>P7</t>
        </is>
      </c>
      <c r="C323" s="43" t="inlineStr">
        <is>
          <t>仕事</t>
        </is>
      </c>
      <c r="D323" s="42" t="n">
        <v>3</v>
      </c>
      <c r="E323" s="44" t="inlineStr">
        <is>
          <t>2人分の制度を1枚の表にまとめる</t>
        </is>
      </c>
      <c r="F323" s="45" t="inlineStr">
        <is>
          <t>表ができている</t>
        </is>
      </c>
      <c r="G323" s="45" t="inlineStr"/>
      <c r="H323" s="45" t="inlineStr"/>
      <c r="I323" s="45" t="inlineStr"/>
      <c r="J323" s="42" t="n">
        <v>21</v>
      </c>
      <c r="K323" s="46">
        <f>EDATE('はじめに'!$C$5,J323)</f>
        <v/>
      </c>
      <c r="L323" s="42" t="inlineStr">
        <is>
          <t>推奨</t>
        </is>
      </c>
      <c r="M323" s="42" t="inlineStr">
        <is>
          <t>どちらか</t>
        </is>
      </c>
      <c r="N323" s="42" t="inlineStr">
        <is>
          <t>1時間</t>
        </is>
      </c>
      <c r="O323" s="45" t="inlineStr"/>
      <c r="P323" s="45" t="inlineStr"/>
      <c r="Q323" s="38" t="inlineStr">
        <is>
          <t>未着手</t>
        </is>
      </c>
      <c r="R323" s="28" t="inlineStr"/>
    </row>
    <row r="324">
      <c r="A324" s="33" t="inlineStr">
        <is>
          <t>P7-13</t>
        </is>
      </c>
      <c r="B324" s="33" t="inlineStr">
        <is>
          <t>P7</t>
        </is>
      </c>
      <c r="C324" s="34" t="inlineStr">
        <is>
          <t>妊活</t>
        </is>
      </c>
      <c r="D324" s="33" t="n">
        <v>2</v>
      </c>
      <c r="E324" s="35" t="inlineStr">
        <is>
          <t>妊活の期限と、次のステップへの移行条件を合意する</t>
        </is>
      </c>
      <c r="F324" s="36" t="inlineStr">
        <is>
          <t>「何周期で受診するか」が数字で決まっている</t>
        </is>
      </c>
      <c r="G324" s="36" t="inlineStr">
        <is>
          <t>何ヶ月・何周期で受診に切り替えるか</t>
        </is>
      </c>
      <c r="H324" s="36" t="inlineStr">
        <is>
          <t>6周期（35歳以上は3〜6ヶ月）で妊娠しなければ受診、が一般的な目安</t>
        </is>
      </c>
      <c r="I324" s="36" t="inlineStr">
        <is>
          <t>先に決めておけば「そろそろ病院に行こう」が責める言葉にならない。年齢が上がるほど早く切り替える</t>
        </is>
      </c>
      <c r="J324" s="33" t="n">
        <v>21</v>
      </c>
      <c r="K324" s="37">
        <f>EDATE('はじめに'!$C$5,J324)</f>
        <v/>
      </c>
      <c r="L324" s="33" t="inlineStr">
        <is>
          <t>推奨</t>
        </is>
      </c>
      <c r="M324" s="33" t="inlineStr">
        <is>
          <t>2人</t>
        </is>
      </c>
      <c r="N324" s="33" t="inlineStr">
        <is>
          <t>1時間</t>
        </is>
      </c>
      <c r="O324" s="36" t="inlineStr"/>
      <c r="P324" s="36" t="inlineStr">
        <is>
          <t>子どもの人数・時期の合意</t>
        </is>
      </c>
      <c r="Q324" s="38" t="inlineStr">
        <is>
          <t>未着手</t>
        </is>
      </c>
      <c r="R324" s="28" t="inlineStr"/>
    </row>
    <row r="325">
      <c r="A325" s="33" t="inlineStr">
        <is>
          <t>P8-01</t>
        </is>
      </c>
      <c r="B325" s="33" t="inlineStr">
        <is>
          <t>P8</t>
        </is>
      </c>
      <c r="C325" s="34" t="inlineStr">
        <is>
          <t>妊活</t>
        </is>
      </c>
      <c r="D325" s="33" t="n">
        <v>2</v>
      </c>
      <c r="E325" s="35" t="inlineStr">
        <is>
          <t>タイミング法を試す</t>
        </is>
      </c>
      <c r="F325" s="36" t="inlineStr">
        <is>
          <t>決めた周期数を実行している</t>
        </is>
      </c>
      <c r="G325" s="36" t="inlineStr">
        <is>
          <t>自己流でどこまでやるか</t>
        </is>
      </c>
      <c r="H325" s="36" t="inlineStr">
        <is>
          <t>アプリの予測のみ／排卵検査薬併用／クリニックでのタイミング指導</t>
        </is>
      </c>
      <c r="I325" s="36" t="inlineStr">
        <is>
          <t>排卵日の2日前〜当日が確率のピーク。義務化しないよう、タイミングを取る周期と取らない周期を分ける工夫もある</t>
        </is>
      </c>
      <c r="J325" s="33" t="n">
        <v>22</v>
      </c>
      <c r="K325" s="37">
        <f>EDATE('はじめに'!$C$5,J325)</f>
        <v/>
      </c>
      <c r="L325" s="33" t="inlineStr">
        <is>
          <t>任意</t>
        </is>
      </c>
      <c r="M325" s="33" t="inlineStr">
        <is>
          <t>2人</t>
        </is>
      </c>
      <c r="N325" s="33" t="inlineStr">
        <is>
          <t>6周期</t>
        </is>
      </c>
      <c r="O325" s="36" t="inlineStr"/>
      <c r="P325" s="36" t="inlineStr">
        <is>
          <t>妊活の期限の合意</t>
        </is>
      </c>
      <c r="Q325" s="38" t="inlineStr">
        <is>
          <t>未着手</t>
        </is>
      </c>
      <c r="R325" s="28" t="inlineStr"/>
    </row>
    <row r="326" outlineLevel="1">
      <c r="A326" s="39" t="inlineStr">
        <is>
          <t>P8-01-01</t>
        </is>
      </c>
      <c r="B326" s="39" t="inlineStr">
        <is>
          <t>P8</t>
        </is>
      </c>
      <c r="C326" s="22" t="inlineStr">
        <is>
          <t>妊活</t>
        </is>
      </c>
      <c r="D326" s="39" t="n">
        <v>3</v>
      </c>
      <c r="E326" s="40" t="inlineStr">
        <is>
          <t>排卵日の共有方法（言い方）を2人で決める</t>
        </is>
      </c>
      <c r="F326" s="24" t="inlineStr">
        <is>
          <t>お互いが嫌でない伝え方が決まっている</t>
        </is>
      </c>
      <c r="G326" s="24" t="inlineStr"/>
      <c r="H326" s="24" t="inlineStr"/>
      <c r="I326" s="24" t="inlineStr"/>
      <c r="J326" s="39" t="n">
        <v>22</v>
      </c>
      <c r="K326" s="41">
        <f>EDATE('はじめに'!$C$5,J326)</f>
        <v/>
      </c>
      <c r="L326" s="39" t="inlineStr">
        <is>
          <t>推奨</t>
        </is>
      </c>
      <c r="M326" s="39" t="inlineStr">
        <is>
          <t>2人</t>
        </is>
      </c>
      <c r="N326" s="39" t="inlineStr">
        <is>
          <t>30分</t>
        </is>
      </c>
      <c r="O326" s="24" t="inlineStr"/>
      <c r="P326" s="24" t="inlineStr"/>
      <c r="Q326" s="38" t="inlineStr">
        <is>
          <t>未着手</t>
        </is>
      </c>
      <c r="R326" s="28" t="inlineStr"/>
    </row>
    <row r="327" outlineLevel="1">
      <c r="A327" s="42" t="inlineStr">
        <is>
          <t>P8-01-02</t>
        </is>
      </c>
      <c r="B327" s="42" t="inlineStr">
        <is>
          <t>P8</t>
        </is>
      </c>
      <c r="C327" s="43" t="inlineStr">
        <is>
          <t>妊活</t>
        </is>
      </c>
      <c r="D327" s="42" t="n">
        <v>3</v>
      </c>
      <c r="E327" s="44" t="inlineStr">
        <is>
          <t>周期ごとの結果を記録する</t>
        </is>
      </c>
      <c r="F327" s="45" t="inlineStr">
        <is>
          <t>記録が残っている</t>
        </is>
      </c>
      <c r="G327" s="45" t="inlineStr"/>
      <c r="H327" s="45" t="inlineStr"/>
      <c r="I327" s="45" t="inlineStr"/>
      <c r="J327" s="42" t="n">
        <v>22</v>
      </c>
      <c r="K327" s="46">
        <f>EDATE('はじめに'!$C$5,J327)</f>
        <v/>
      </c>
      <c r="L327" s="42" t="inlineStr">
        <is>
          <t>任意</t>
        </is>
      </c>
      <c r="M327" s="42" t="inlineStr">
        <is>
          <t>妊娠する側</t>
        </is>
      </c>
      <c r="N327" s="42" t="inlineStr">
        <is>
          <t>継続</t>
        </is>
      </c>
      <c r="O327" s="45" t="inlineStr"/>
      <c r="P327" s="45" t="inlineStr"/>
      <c r="Q327" s="38" t="inlineStr">
        <is>
          <t>未着手</t>
        </is>
      </c>
      <c r="R327" s="28" t="inlineStr"/>
    </row>
    <row r="328" outlineLevel="1">
      <c r="A328" s="39" t="inlineStr">
        <is>
          <t>P8-01-03</t>
        </is>
      </c>
      <c r="B328" s="39" t="inlineStr">
        <is>
          <t>P8</t>
        </is>
      </c>
      <c r="C328" s="22" t="inlineStr">
        <is>
          <t>妊活</t>
        </is>
      </c>
      <c r="D328" s="39" t="n">
        <v>3</v>
      </c>
      <c r="E328" s="40" t="inlineStr">
        <is>
          <t>決めた周期数に達したかを毎月確認する</t>
        </is>
      </c>
      <c r="F328" s="24" t="inlineStr">
        <is>
          <t>移行判断ができる状態</t>
        </is>
      </c>
      <c r="G328" s="24" t="inlineStr"/>
      <c r="H328" s="24" t="inlineStr"/>
      <c r="I328" s="24" t="inlineStr"/>
      <c r="J328" s="39" t="n">
        <v>24</v>
      </c>
      <c r="K328" s="41">
        <f>EDATE('はじめに'!$C$5,J328)</f>
        <v/>
      </c>
      <c r="L328" s="39" t="inlineStr">
        <is>
          <t>推奨</t>
        </is>
      </c>
      <c r="M328" s="39" t="inlineStr">
        <is>
          <t>2人</t>
        </is>
      </c>
      <c r="N328" s="39" t="inlineStr">
        <is>
          <t>10分</t>
        </is>
      </c>
      <c r="O328" s="24" t="inlineStr"/>
      <c r="P328" s="24" t="inlineStr"/>
      <c r="Q328" s="38" t="inlineStr">
        <is>
          <t>未着手</t>
        </is>
      </c>
      <c r="R328" s="28" t="inlineStr"/>
    </row>
    <row r="329">
      <c r="A329" s="33" t="inlineStr">
        <is>
          <t>P8-02</t>
        </is>
      </c>
      <c r="B329" s="33" t="inlineStr">
        <is>
          <t>P8</t>
        </is>
      </c>
      <c r="C329" s="34" t="inlineStr">
        <is>
          <t>医療</t>
        </is>
      </c>
      <c r="D329" s="33" t="n">
        <v>2</v>
      </c>
      <c r="E329" s="35" t="inlineStr">
        <is>
          <t>クリニックを選んで受診する</t>
        </is>
      </c>
      <c r="F329" s="36" t="inlineStr">
        <is>
          <t>初診を終え、治療方針が示されている</t>
        </is>
      </c>
      <c r="G329" s="36" t="inlineStr">
        <is>
          <t>どのクリニックを選ぶか</t>
        </is>
      </c>
      <c r="H329" s="36" t="inlineStr">
        <is>
          <t>一般婦人科／不妊治療専門クリニック／高度生殖医療（ART）まで対応する施設</t>
        </is>
      </c>
      <c r="I329" s="36" t="inlineStr">
        <is>
          <t>判断軸：通院頻度に耐えられる立地（生理周期に合わせた平日朝の通院が頻発する）／土日・夜間の対応／体外受精まで自院で完結するか／実績の開示／説明の丁寧さ／男性不妊への対応</t>
        </is>
      </c>
      <c r="J329" s="33" t="n">
        <v>24</v>
      </c>
      <c r="K329" s="37">
        <f>EDATE('はじめに'!$C$5,J329)</f>
        <v/>
      </c>
      <c r="L329" s="33" t="inlineStr">
        <is>
          <t>推奨</t>
        </is>
      </c>
      <c r="M329" s="33" t="inlineStr">
        <is>
          <t>2人</t>
        </is>
      </c>
      <c r="N329" s="33" t="inlineStr">
        <is>
          <t>1ヶ月</t>
        </is>
      </c>
      <c r="O329" s="36" t="inlineStr"/>
      <c r="P329" s="36" t="inlineStr">
        <is>
          <t>タイミング法</t>
        </is>
      </c>
      <c r="Q329" s="38" t="inlineStr">
        <is>
          <t>未着手</t>
        </is>
      </c>
      <c r="R329" s="28" t="inlineStr"/>
    </row>
    <row r="330" outlineLevel="1">
      <c r="A330" s="39" t="inlineStr">
        <is>
          <t>P8-02-01</t>
        </is>
      </c>
      <c r="B330" s="39" t="inlineStr">
        <is>
          <t>P8</t>
        </is>
      </c>
      <c r="C330" s="22" t="inlineStr">
        <is>
          <t>医療</t>
        </is>
      </c>
      <c r="D330" s="39" t="n">
        <v>3</v>
      </c>
      <c r="E330" s="40" t="inlineStr">
        <is>
          <t>候補を3つ挙げて、通院のしやすさ（職場・自宅からの距離、受付時間）を比較する</t>
        </is>
      </c>
      <c r="F330" s="24" t="inlineStr">
        <is>
          <t>比較できている</t>
        </is>
      </c>
      <c r="G330" s="24" t="inlineStr"/>
      <c r="H330" s="24" t="inlineStr"/>
      <c r="I330" s="24" t="inlineStr"/>
      <c r="J330" s="39" t="n">
        <v>24</v>
      </c>
      <c r="K330" s="41">
        <f>EDATE('はじめに'!$C$5,J330)</f>
        <v/>
      </c>
      <c r="L330" s="39" t="inlineStr">
        <is>
          <t>推奨</t>
        </is>
      </c>
      <c r="M330" s="39" t="inlineStr">
        <is>
          <t>2人</t>
        </is>
      </c>
      <c r="N330" s="39" t="inlineStr">
        <is>
          <t>2時間</t>
        </is>
      </c>
      <c r="O330" s="24" t="inlineStr"/>
      <c r="P330" s="24" t="inlineStr"/>
      <c r="Q330" s="38" t="inlineStr">
        <is>
          <t>未着手</t>
        </is>
      </c>
      <c r="R330" s="28" t="inlineStr"/>
    </row>
    <row r="331" outlineLevel="1">
      <c r="A331" s="42" t="inlineStr">
        <is>
          <t>P8-02-02</t>
        </is>
      </c>
      <c r="B331" s="42" t="inlineStr">
        <is>
          <t>P8</t>
        </is>
      </c>
      <c r="C331" s="43" t="inlineStr">
        <is>
          <t>医療</t>
        </is>
      </c>
      <c r="D331" s="42" t="n">
        <v>3</v>
      </c>
      <c r="E331" s="44" t="inlineStr">
        <is>
          <t>体外受精まで自院で対応できるか確認する（転院は負担が大きい）</t>
        </is>
      </c>
      <c r="F331" s="45" t="inlineStr">
        <is>
          <t>対応範囲が分かっている</t>
        </is>
      </c>
      <c r="G331" s="45" t="inlineStr"/>
      <c r="H331" s="45" t="inlineStr"/>
      <c r="I331" s="45" t="inlineStr"/>
      <c r="J331" s="42" t="n">
        <v>24</v>
      </c>
      <c r="K331" s="46">
        <f>EDATE('はじめに'!$C$5,J331)</f>
        <v/>
      </c>
      <c r="L331" s="42" t="inlineStr">
        <is>
          <t>推奨</t>
        </is>
      </c>
      <c r="M331" s="42" t="inlineStr">
        <is>
          <t>どちらか</t>
        </is>
      </c>
      <c r="N331" s="42" t="inlineStr">
        <is>
          <t>30分</t>
        </is>
      </c>
      <c r="O331" s="45" t="inlineStr"/>
      <c r="P331" s="45" t="inlineStr"/>
      <c r="Q331" s="38" t="inlineStr">
        <is>
          <t>未着手</t>
        </is>
      </c>
      <c r="R331" s="28" t="inlineStr"/>
    </row>
    <row r="332" outlineLevel="1">
      <c r="A332" s="39" t="inlineStr">
        <is>
          <t>P8-02-03</t>
        </is>
      </c>
      <c r="B332" s="39" t="inlineStr">
        <is>
          <t>P8</t>
        </is>
      </c>
      <c r="C332" s="22" t="inlineStr">
        <is>
          <t>医療</t>
        </is>
      </c>
      <c r="D332" s="39" t="n">
        <v>3</v>
      </c>
      <c r="E332" s="40" t="inlineStr">
        <is>
          <t>初診を予約して2人で行く</t>
        </is>
      </c>
      <c r="F332" s="24" t="inlineStr">
        <is>
          <t>初診完了</t>
        </is>
      </c>
      <c r="G332" s="24" t="inlineStr"/>
      <c r="H332" s="24" t="inlineStr"/>
      <c r="I332" s="24" t="inlineStr"/>
      <c r="J332" s="39" t="n">
        <v>24</v>
      </c>
      <c r="K332" s="41">
        <f>EDATE('はじめに'!$C$5,J332)</f>
        <v/>
      </c>
      <c r="L332" s="39" t="inlineStr">
        <is>
          <t>推奨</t>
        </is>
      </c>
      <c r="M332" s="39" t="inlineStr">
        <is>
          <t>2人</t>
        </is>
      </c>
      <c r="N332" s="39" t="inlineStr">
        <is>
          <t>半日</t>
        </is>
      </c>
      <c r="O332" s="24" t="inlineStr"/>
      <c r="P332" s="24" t="inlineStr"/>
      <c r="Q332" s="38" t="inlineStr">
        <is>
          <t>未着手</t>
        </is>
      </c>
      <c r="R332" s="28" t="inlineStr"/>
    </row>
    <row r="333">
      <c r="A333" s="33" t="inlineStr">
        <is>
          <t>P8-03</t>
        </is>
      </c>
      <c r="B333" s="33" t="inlineStr">
        <is>
          <t>P8</t>
        </is>
      </c>
      <c r="C333" s="34" t="inlineStr">
        <is>
          <t>医療</t>
        </is>
      </c>
      <c r="D333" s="33" t="n">
        <v>2</v>
      </c>
      <c r="E333" s="35" t="inlineStr">
        <is>
          <t>各種検査を受ける</t>
        </is>
      </c>
      <c r="F333" s="36" t="inlineStr">
        <is>
          <t>検査が一通り終わり、原因の見当がついている</t>
        </is>
      </c>
      <c r="G333" s="36" t="inlineStr"/>
      <c r="H333" s="36" t="inlineStr"/>
      <c r="I333" s="36" t="inlineStr"/>
      <c r="J333" s="33" t="n">
        <v>24</v>
      </c>
      <c r="K333" s="37">
        <f>EDATE('はじめに'!$C$5,J333)</f>
        <v/>
      </c>
      <c r="L333" s="33" t="inlineStr">
        <is>
          <t>推奨</t>
        </is>
      </c>
      <c r="M333" s="33" t="inlineStr">
        <is>
          <t>2人</t>
        </is>
      </c>
      <c r="N333" s="33" t="inlineStr">
        <is>
          <t>1〜2周期</t>
        </is>
      </c>
      <c r="O333" s="36" t="inlineStr">
        <is>
          <t>1〜3万円</t>
        </is>
      </c>
      <c r="P333" s="36" t="inlineStr">
        <is>
          <t>クリニックの受診</t>
        </is>
      </c>
      <c r="Q333" s="38" t="inlineStr">
        <is>
          <t>未着手</t>
        </is>
      </c>
      <c r="R333" s="28" t="inlineStr"/>
    </row>
    <row r="334" outlineLevel="1">
      <c r="A334" s="39" t="inlineStr">
        <is>
          <t>P8-03-01</t>
        </is>
      </c>
      <c r="B334" s="39" t="inlineStr">
        <is>
          <t>P8</t>
        </is>
      </c>
      <c r="C334" s="22" t="inlineStr">
        <is>
          <t>医療</t>
        </is>
      </c>
      <c r="D334" s="39" t="n">
        <v>3</v>
      </c>
      <c r="E334" s="40" t="inlineStr">
        <is>
          <t>ホルモン検査（月経期・黄体期）を受ける</t>
        </is>
      </c>
      <c r="F334" s="24" t="inlineStr">
        <is>
          <t>結果が出ている</t>
        </is>
      </c>
      <c r="G334" s="24" t="inlineStr"/>
      <c r="H334" s="24" t="inlineStr"/>
      <c r="I334" s="24" t="inlineStr"/>
      <c r="J334" s="39" t="n">
        <v>24</v>
      </c>
      <c r="K334" s="41">
        <f>EDATE('はじめに'!$C$5,J334)</f>
        <v/>
      </c>
      <c r="L334" s="39" t="inlineStr">
        <is>
          <t>推奨</t>
        </is>
      </c>
      <c r="M334" s="39" t="inlineStr">
        <is>
          <t>妊娠する側</t>
        </is>
      </c>
      <c r="N334" s="39" t="inlineStr">
        <is>
          <t>2回通院</t>
        </is>
      </c>
      <c r="O334" s="24" t="inlineStr"/>
      <c r="P334" s="24" t="inlineStr"/>
      <c r="Q334" s="38" t="inlineStr">
        <is>
          <t>未着手</t>
        </is>
      </c>
      <c r="R334" s="28" t="inlineStr"/>
    </row>
    <row r="335" outlineLevel="1">
      <c r="A335" s="42" t="inlineStr">
        <is>
          <t>P8-03-02</t>
        </is>
      </c>
      <c r="B335" s="42" t="inlineStr">
        <is>
          <t>P8</t>
        </is>
      </c>
      <c r="C335" s="43" t="inlineStr">
        <is>
          <t>医療</t>
        </is>
      </c>
      <c r="D335" s="42" t="n">
        <v>3</v>
      </c>
      <c r="E335" s="44" t="inlineStr">
        <is>
          <t>子宮卵管造影検査を受ける（検査後3〜6ヶ月は妊娠しやすいとされる）</t>
        </is>
      </c>
      <c r="F335" s="45" t="inlineStr">
        <is>
          <t>結果が出ている</t>
        </is>
      </c>
      <c r="G335" s="45" t="inlineStr"/>
      <c r="H335" s="45" t="inlineStr"/>
      <c r="I335" s="45" t="inlineStr"/>
      <c r="J335" s="42" t="n">
        <v>24</v>
      </c>
      <c r="K335" s="46">
        <f>EDATE('はじめに'!$C$5,J335)</f>
        <v/>
      </c>
      <c r="L335" s="42" t="inlineStr">
        <is>
          <t>推奨</t>
        </is>
      </c>
      <c r="M335" s="42" t="inlineStr">
        <is>
          <t>妊娠する側</t>
        </is>
      </c>
      <c r="N335" s="42" t="inlineStr">
        <is>
          <t>半日</t>
        </is>
      </c>
      <c r="O335" s="45" t="inlineStr"/>
      <c r="P335" s="45" t="inlineStr"/>
      <c r="Q335" s="38" t="inlineStr">
        <is>
          <t>未着手</t>
        </is>
      </c>
      <c r="R335" s="28" t="inlineStr"/>
    </row>
    <row r="336" outlineLevel="1">
      <c r="A336" s="39" t="inlineStr">
        <is>
          <t>P8-03-03</t>
        </is>
      </c>
      <c r="B336" s="39" t="inlineStr">
        <is>
          <t>P8</t>
        </is>
      </c>
      <c r="C336" s="22" t="inlineStr">
        <is>
          <t>医療</t>
        </is>
      </c>
      <c r="D336" s="39" t="n">
        <v>3</v>
      </c>
      <c r="E336" s="40" t="inlineStr">
        <is>
          <t>精液検査を再度受ける（数値は変動するので複数回で判断）</t>
        </is>
      </c>
      <c r="F336" s="24" t="inlineStr">
        <is>
          <t>結果が出ている</t>
        </is>
      </c>
      <c r="G336" s="24" t="inlineStr"/>
      <c r="H336" s="24" t="inlineStr"/>
      <c r="I336" s="24" t="inlineStr"/>
      <c r="J336" s="39" t="n">
        <v>24</v>
      </c>
      <c r="K336" s="41">
        <f>EDATE('はじめに'!$C$5,J336)</f>
        <v/>
      </c>
      <c r="L336" s="39" t="inlineStr">
        <is>
          <t>推奨</t>
        </is>
      </c>
      <c r="M336" s="39" t="inlineStr">
        <is>
          <t>パートナー</t>
        </is>
      </c>
      <c r="N336" s="39" t="inlineStr">
        <is>
          <t>半日</t>
        </is>
      </c>
      <c r="O336" s="24" t="inlineStr"/>
      <c r="P336" s="24" t="inlineStr"/>
      <c r="Q336" s="38" t="inlineStr">
        <is>
          <t>未着手</t>
        </is>
      </c>
      <c r="R336" s="28" t="inlineStr"/>
    </row>
    <row r="337" outlineLevel="1">
      <c r="A337" s="42" t="inlineStr">
        <is>
          <t>P8-03-04</t>
        </is>
      </c>
      <c r="B337" s="42" t="inlineStr">
        <is>
          <t>P8</t>
        </is>
      </c>
      <c r="C337" s="43" t="inlineStr">
        <is>
          <t>医療</t>
        </is>
      </c>
      <c r="D337" s="42" t="n">
        <v>3</v>
      </c>
      <c r="E337" s="44" t="inlineStr">
        <is>
          <t>結果を2人で聞きに行く</t>
        </is>
      </c>
      <c r="F337" s="45" t="inlineStr">
        <is>
          <t>2人が同じ説明を受けている</t>
        </is>
      </c>
      <c r="G337" s="45" t="inlineStr"/>
      <c r="H337" s="45" t="inlineStr"/>
      <c r="I337" s="45" t="inlineStr"/>
      <c r="J337" s="42" t="n">
        <v>25</v>
      </c>
      <c r="K337" s="46">
        <f>EDATE('はじめに'!$C$5,J337)</f>
        <v/>
      </c>
      <c r="L337" s="42" t="inlineStr">
        <is>
          <t>推奨</t>
        </is>
      </c>
      <c r="M337" s="42" t="inlineStr">
        <is>
          <t>2人</t>
        </is>
      </c>
      <c r="N337" s="42" t="inlineStr">
        <is>
          <t>半日</t>
        </is>
      </c>
      <c r="O337" s="45" t="inlineStr"/>
      <c r="P337" s="45" t="inlineStr"/>
      <c r="Q337" s="38" t="inlineStr">
        <is>
          <t>未着手</t>
        </is>
      </c>
      <c r="R337" s="28" t="inlineStr"/>
    </row>
    <row r="338">
      <c r="A338" s="33" t="inlineStr">
        <is>
          <t>P8-04</t>
        </is>
      </c>
      <c r="B338" s="33" t="inlineStr">
        <is>
          <t>P8</t>
        </is>
      </c>
      <c r="C338" s="34" t="inlineStr">
        <is>
          <t>医療</t>
        </is>
      </c>
      <c r="D338" s="33" t="n">
        <v>2</v>
      </c>
      <c r="E338" s="35" t="inlineStr">
        <is>
          <t>人工授精（AIH）へ進む</t>
        </is>
      </c>
      <c r="F338" s="36" t="inlineStr">
        <is>
          <t>決めた回数を実施している</t>
        </is>
      </c>
      <c r="G338" s="36" t="inlineStr">
        <is>
          <t>何回やって次に進むか</t>
        </is>
      </c>
      <c r="H338" s="36" t="inlineStr"/>
      <c r="I338" s="36" t="inlineStr">
        <is>
          <t>5〜6回で妊娠しなければ体外受精への移行が一般的。1回1〜3万円（保険適用）。回数の上限を先に決めておく</t>
        </is>
      </c>
      <c r="J338" s="33" t="n">
        <v>25</v>
      </c>
      <c r="K338" s="37">
        <f>EDATE('はじめに'!$C$5,J338)</f>
        <v/>
      </c>
      <c r="L338" s="33" t="inlineStr">
        <is>
          <t>任意</t>
        </is>
      </c>
      <c r="M338" s="33" t="inlineStr">
        <is>
          <t>2人</t>
        </is>
      </c>
      <c r="N338" s="33" t="inlineStr">
        <is>
          <t>3〜6周期</t>
        </is>
      </c>
      <c r="O338" s="36" t="inlineStr">
        <is>
          <t>1〜3万円/回</t>
        </is>
      </c>
      <c r="P338" s="36" t="inlineStr">
        <is>
          <t>各種検査</t>
        </is>
      </c>
      <c r="Q338" s="38" t="inlineStr">
        <is>
          <t>未着手</t>
        </is>
      </c>
      <c r="R338" s="28" t="inlineStr"/>
    </row>
    <row r="339">
      <c r="A339" s="33" t="inlineStr">
        <is>
          <t>P8-05</t>
        </is>
      </c>
      <c r="B339" s="33" t="inlineStr">
        <is>
          <t>P8</t>
        </is>
      </c>
      <c r="C339" s="34" t="inlineStr">
        <is>
          <t>医療</t>
        </is>
      </c>
      <c r="D339" s="33" t="n">
        <v>2</v>
      </c>
      <c r="E339" s="35" t="inlineStr">
        <is>
          <t>体外受精（IVF）・顕微授精（ICSI）への移行を判断する</t>
        </is>
      </c>
      <c r="F339" s="36" t="inlineStr">
        <is>
          <t>やる／やらないが決まり、やるなら回数の上限も決まっている</t>
        </is>
      </c>
      <c r="G339" s="36" t="inlineStr">
        <is>
          <t>いつ移行するか、何回やるか、先進医療を使うか</t>
        </is>
      </c>
      <c r="H339" s="36" t="inlineStr">
        <is>
          <t>保険診療のみ／自費＋先進医療（タイムラプス、PGT-A、ERA等）／自費の自由診療</t>
        </is>
      </c>
      <c r="I339" s="36" t="inlineStr">
        <is>
          <t>保険適用で1回あたり自己負担15〜30万円。年齢による回数上限がある。民間保険の先進医療特約が使える場合があるので契約内容を確認する</t>
        </is>
      </c>
      <c r="J339" s="33" t="n">
        <v>26</v>
      </c>
      <c r="K339" s="37">
        <f>EDATE('はじめに'!$C$5,J339)</f>
        <v/>
      </c>
      <c r="L339" s="33" t="inlineStr">
        <is>
          <t>任意</t>
        </is>
      </c>
      <c r="M339" s="33" t="inlineStr">
        <is>
          <t>2人</t>
        </is>
      </c>
      <c r="N339" s="33" t="inlineStr">
        <is>
          <t>1ヶ月</t>
        </is>
      </c>
      <c r="O339" s="36" t="inlineStr">
        <is>
          <t>15〜30万円/回</t>
        </is>
      </c>
      <c r="P339" s="36" t="inlineStr">
        <is>
          <t>人工授精</t>
        </is>
      </c>
      <c r="Q339" s="38" t="inlineStr">
        <is>
          <t>未着手</t>
        </is>
      </c>
      <c r="R339" s="28" t="inlineStr"/>
    </row>
    <row r="340" outlineLevel="1">
      <c r="A340" s="39" t="inlineStr">
        <is>
          <t>P8-05-01</t>
        </is>
      </c>
      <c r="B340" s="39" t="inlineStr">
        <is>
          <t>P8</t>
        </is>
      </c>
      <c r="C340" s="22" t="inlineStr">
        <is>
          <t>医療</t>
        </is>
      </c>
      <c r="D340" s="39" t="n">
        <v>3</v>
      </c>
      <c r="E340" s="40" t="inlineStr">
        <is>
          <t>説明会・カウンセリングを2人で受ける</t>
        </is>
      </c>
      <c r="F340" s="24" t="inlineStr">
        <is>
          <t>内容を理解している</t>
        </is>
      </c>
      <c r="G340" s="24" t="inlineStr"/>
      <c r="H340" s="24" t="inlineStr"/>
      <c r="I340" s="24" t="inlineStr"/>
      <c r="J340" s="39" t="n">
        <v>26</v>
      </c>
      <c r="K340" s="41">
        <f>EDATE('はじめに'!$C$5,J340)</f>
        <v/>
      </c>
      <c r="L340" s="39" t="inlineStr">
        <is>
          <t>推奨</t>
        </is>
      </c>
      <c r="M340" s="39" t="inlineStr">
        <is>
          <t>2人</t>
        </is>
      </c>
      <c r="N340" s="39" t="inlineStr">
        <is>
          <t>半日</t>
        </is>
      </c>
      <c r="O340" s="24" t="inlineStr"/>
      <c r="P340" s="24" t="inlineStr"/>
      <c r="Q340" s="38" t="inlineStr">
        <is>
          <t>未着手</t>
        </is>
      </c>
      <c r="R340" s="28" t="inlineStr"/>
    </row>
    <row r="341" outlineLevel="1">
      <c r="A341" s="42" t="inlineStr">
        <is>
          <t>P8-05-02</t>
        </is>
      </c>
      <c r="B341" s="42" t="inlineStr">
        <is>
          <t>P8</t>
        </is>
      </c>
      <c r="C341" s="43" t="inlineStr">
        <is>
          <t>医療</t>
        </is>
      </c>
      <c r="D341" s="42" t="n">
        <v>3</v>
      </c>
      <c r="E341" s="44" t="inlineStr">
        <is>
          <t>先進医療の要否と、保険の先進医療特約が使えるか確認する</t>
        </is>
      </c>
      <c r="F341" s="45" t="inlineStr">
        <is>
          <t>使える／使えないが分かっている</t>
        </is>
      </c>
      <c r="G341" s="45" t="inlineStr"/>
      <c r="H341" s="45" t="inlineStr"/>
      <c r="I341" s="45" t="inlineStr"/>
      <c r="J341" s="42" t="n">
        <v>26</v>
      </c>
      <c r="K341" s="46">
        <f>EDATE('はじめに'!$C$5,J341)</f>
        <v/>
      </c>
      <c r="L341" s="42" t="inlineStr">
        <is>
          <t>任意</t>
        </is>
      </c>
      <c r="M341" s="42" t="inlineStr">
        <is>
          <t>2人</t>
        </is>
      </c>
      <c r="N341" s="42" t="inlineStr">
        <is>
          <t>1時間</t>
        </is>
      </c>
      <c r="O341" s="45" t="inlineStr"/>
      <c r="P341" s="45" t="inlineStr"/>
      <c r="Q341" s="38" t="inlineStr">
        <is>
          <t>未着手</t>
        </is>
      </c>
      <c r="R341" s="28" t="inlineStr"/>
    </row>
    <row r="342" outlineLevel="1">
      <c r="A342" s="39" t="inlineStr">
        <is>
          <t>P8-05-03</t>
        </is>
      </c>
      <c r="B342" s="39" t="inlineStr">
        <is>
          <t>P8</t>
        </is>
      </c>
      <c r="C342" s="22" t="inlineStr">
        <is>
          <t>医療</t>
        </is>
      </c>
      <c r="D342" s="39" t="n">
        <v>3</v>
      </c>
      <c r="E342" s="40" t="inlineStr">
        <is>
          <t>回数の上限を決める</t>
        </is>
      </c>
      <c r="F342" s="24" t="inlineStr">
        <is>
          <t>上限が数字で決まっている</t>
        </is>
      </c>
      <c r="G342" s="24" t="inlineStr"/>
      <c r="H342" s="24" t="inlineStr"/>
      <c r="I342" s="24" t="inlineStr"/>
      <c r="J342" s="39" t="n">
        <v>26</v>
      </c>
      <c r="K342" s="41">
        <f>EDATE('はじめに'!$C$5,J342)</f>
        <v/>
      </c>
      <c r="L342" s="39" t="inlineStr">
        <is>
          <t>推奨</t>
        </is>
      </c>
      <c r="M342" s="39" t="inlineStr">
        <is>
          <t>2人</t>
        </is>
      </c>
      <c r="N342" s="39" t="inlineStr">
        <is>
          <t>1時間</t>
        </is>
      </c>
      <c r="O342" s="24" t="inlineStr"/>
      <c r="P342" s="24" t="inlineStr"/>
      <c r="Q342" s="38" t="inlineStr">
        <is>
          <t>未着手</t>
        </is>
      </c>
      <c r="R342" s="28" t="inlineStr"/>
    </row>
    <row r="343">
      <c r="A343" s="33" t="inlineStr">
        <is>
          <t>P8-06</t>
        </is>
      </c>
      <c r="B343" s="33" t="inlineStr">
        <is>
          <t>P8</t>
        </is>
      </c>
      <c r="C343" s="34" t="inlineStr">
        <is>
          <t>お金</t>
        </is>
      </c>
      <c r="D343" s="33" t="n">
        <v>2</v>
      </c>
      <c r="E343" s="35" t="inlineStr">
        <is>
          <t>治療費の上限と「やめどき」を数字で合意する</t>
        </is>
      </c>
      <c r="F343" s="36" t="inlineStr">
        <is>
          <t>金額・回数・年齢のいずれかで区切りが決まり、書面になっている</t>
        </is>
      </c>
      <c r="G343" s="36" t="inlineStr">
        <is>
          <t>いくらまで／いつまで／何回まで</t>
        </is>
      </c>
      <c r="H343" s="36" t="inlineStr">
        <is>
          <t>金額で区切る／回数で区切る／年齢で区切る／期限を決めず都度相談</t>
        </is>
      </c>
      <c r="I343" s="36" t="inlineStr">
        <is>
          <t>妊活期で最も関係が壊れやすい論点。感情が高ぶっている最中に決めると片方が納得しない。冷静なうちに数字で決めて書き残す。保険適用の回数上限を基準にすると議論しやすい</t>
        </is>
      </c>
      <c r="J343" s="33" t="n">
        <v>25</v>
      </c>
      <c r="K343" s="37">
        <f>EDATE('はじめに'!$C$5,J343)</f>
        <v/>
      </c>
      <c r="L343" s="33" t="inlineStr">
        <is>
          <t>推奨</t>
        </is>
      </c>
      <c r="M343" s="33" t="inlineStr">
        <is>
          <t>2人</t>
        </is>
      </c>
      <c r="N343" s="33" t="inlineStr">
        <is>
          <t>2時間</t>
        </is>
      </c>
      <c r="O343" s="36" t="inlineStr"/>
      <c r="P343" s="36" t="inlineStr">
        <is>
          <t>クリニックの受診</t>
        </is>
      </c>
      <c r="Q343" s="38" t="inlineStr">
        <is>
          <t>未着手</t>
        </is>
      </c>
      <c r="R343" s="28" t="inlineStr"/>
    </row>
    <row r="344" outlineLevel="1">
      <c r="A344" s="39" t="inlineStr">
        <is>
          <t>P8-06-01</t>
        </is>
      </c>
      <c r="B344" s="39" t="inlineStr">
        <is>
          <t>P8</t>
        </is>
      </c>
      <c r="C344" s="22" t="inlineStr">
        <is>
          <t>お金</t>
        </is>
      </c>
      <c r="D344" s="39" t="n">
        <v>3</v>
      </c>
      <c r="E344" s="40" t="inlineStr">
        <is>
          <t>治療費の累計を記録する仕組みを作る</t>
        </is>
      </c>
      <c r="F344" s="24" t="inlineStr">
        <is>
          <t>いくら使ったかが常に分かる</t>
        </is>
      </c>
      <c r="G344" s="24" t="inlineStr"/>
      <c r="H344" s="24" t="inlineStr"/>
      <c r="I344" s="24" t="inlineStr"/>
      <c r="J344" s="39" t="n">
        <v>25</v>
      </c>
      <c r="K344" s="41">
        <f>EDATE('はじめに'!$C$5,J344)</f>
        <v/>
      </c>
      <c r="L344" s="39" t="inlineStr">
        <is>
          <t>推奨</t>
        </is>
      </c>
      <c r="M344" s="39" t="inlineStr">
        <is>
          <t>どちらか</t>
        </is>
      </c>
      <c r="N344" s="39" t="inlineStr">
        <is>
          <t>30分</t>
        </is>
      </c>
      <c r="O344" s="24" t="inlineStr"/>
      <c r="P344" s="24" t="inlineStr"/>
      <c r="Q344" s="38" t="inlineStr">
        <is>
          <t>未着手</t>
        </is>
      </c>
      <c r="R344" s="28" t="inlineStr"/>
    </row>
    <row r="345" outlineLevel="1">
      <c r="A345" s="42" t="inlineStr">
        <is>
          <t>P8-06-02</t>
        </is>
      </c>
      <c r="B345" s="42" t="inlineStr">
        <is>
          <t>P8</t>
        </is>
      </c>
      <c r="C345" s="43" t="inlineStr">
        <is>
          <t>お金</t>
        </is>
      </c>
      <c r="D345" s="42" t="n">
        <v>3</v>
      </c>
      <c r="E345" s="44" t="inlineStr">
        <is>
          <t>上限を決めて書き残す</t>
        </is>
      </c>
      <c r="F345" s="45" t="inlineStr">
        <is>
          <t>書面になっている</t>
        </is>
      </c>
      <c r="G345" s="45" t="inlineStr"/>
      <c r="H345" s="45" t="inlineStr"/>
      <c r="I345" s="45" t="inlineStr"/>
      <c r="J345" s="42" t="n">
        <v>25</v>
      </c>
      <c r="K345" s="46">
        <f>EDATE('はじめに'!$C$5,J345)</f>
        <v/>
      </c>
      <c r="L345" s="42" t="inlineStr">
        <is>
          <t>推奨</t>
        </is>
      </c>
      <c r="M345" s="42" t="inlineStr">
        <is>
          <t>2人</t>
        </is>
      </c>
      <c r="N345" s="42" t="inlineStr">
        <is>
          <t>1時間</t>
        </is>
      </c>
      <c r="O345" s="45" t="inlineStr"/>
      <c r="P345" s="45" t="inlineStr"/>
      <c r="Q345" s="38" t="inlineStr">
        <is>
          <t>未着手</t>
        </is>
      </c>
      <c r="R345" s="28" t="inlineStr"/>
    </row>
    <row r="346" outlineLevel="1">
      <c r="A346" s="39" t="inlineStr">
        <is>
          <t>P8-06-03</t>
        </is>
      </c>
      <c r="B346" s="39" t="inlineStr">
        <is>
          <t>P8</t>
        </is>
      </c>
      <c r="C346" s="22" t="inlineStr">
        <is>
          <t>お金</t>
        </is>
      </c>
      <c r="D346" s="39" t="n">
        <v>3</v>
      </c>
      <c r="E346" s="40" t="inlineStr">
        <is>
          <t>医療費控除のために領収書を全部保管する</t>
        </is>
      </c>
      <c r="F346" s="24" t="inlineStr">
        <is>
          <t>全部残っている</t>
        </is>
      </c>
      <c r="G346" s="24" t="inlineStr"/>
      <c r="H346" s="24" t="inlineStr"/>
      <c r="I346" s="24" t="inlineStr"/>
      <c r="J346" s="39" t="n">
        <v>25</v>
      </c>
      <c r="K346" s="41">
        <f>EDATE('はじめに'!$C$5,J346)</f>
        <v/>
      </c>
      <c r="L346" s="39" t="inlineStr">
        <is>
          <t>推奨</t>
        </is>
      </c>
      <c r="M346" s="39" t="inlineStr">
        <is>
          <t>どちらか</t>
        </is>
      </c>
      <c r="N346" s="39" t="inlineStr">
        <is>
          <t>継続</t>
        </is>
      </c>
      <c r="O346" s="24" t="inlineStr"/>
      <c r="P346" s="24" t="inlineStr"/>
      <c r="Q346" s="38" t="inlineStr">
        <is>
          <t>未着手</t>
        </is>
      </c>
      <c r="R346" s="28" t="inlineStr"/>
    </row>
    <row r="347">
      <c r="A347" s="33" t="inlineStr">
        <is>
          <t>P8-07</t>
        </is>
      </c>
      <c r="B347" s="33" t="inlineStr">
        <is>
          <t>P8</t>
        </is>
      </c>
      <c r="C347" s="34" t="inlineStr">
        <is>
          <t>仕事</t>
        </is>
      </c>
      <c r="D347" s="33" t="n">
        <v>2</v>
      </c>
      <c r="E347" s="35" t="inlineStr">
        <is>
          <t>通院負担と仕事調整の分担を決める</t>
        </is>
      </c>
      <c r="F347" s="36" t="inlineStr">
        <is>
          <t>誰がどれだけ休むかのルールが決まっている</t>
        </is>
      </c>
      <c r="G347" s="36" t="inlineStr">
        <is>
          <t>有給をどう使うか、パートナー側も休むか</t>
        </is>
      </c>
      <c r="H347" s="36" t="inlineStr">
        <is>
          <t>有給／時間休／フレックス／在宅／不妊治療休暇（ある会社）</t>
        </is>
      </c>
      <c r="I347" s="36" t="inlineStr">
        <is>
          <t>通院は圧倒的に妊娠する側に偏る。パートナー側も採精や説明で通う日を必ず作り、負担の非対称を可視化する</t>
        </is>
      </c>
      <c r="J347" s="33" t="n">
        <v>25</v>
      </c>
      <c r="K347" s="37">
        <f>EDATE('はじめに'!$C$5,J347)</f>
        <v/>
      </c>
      <c r="L347" s="33" t="inlineStr">
        <is>
          <t>推奨</t>
        </is>
      </c>
      <c r="M347" s="33" t="inlineStr">
        <is>
          <t>2人</t>
        </is>
      </c>
      <c r="N347" s="33" t="inlineStr">
        <is>
          <t>1時間</t>
        </is>
      </c>
      <c r="O347" s="36" t="inlineStr"/>
      <c r="P347" s="36" t="inlineStr">
        <is>
          <t>クリニックの受診</t>
        </is>
      </c>
      <c r="Q347" s="38" t="inlineStr">
        <is>
          <t>未着手</t>
        </is>
      </c>
      <c r="R347" s="28" t="inlineStr"/>
    </row>
    <row r="348" outlineLevel="1">
      <c r="A348" s="39" t="inlineStr">
        <is>
          <t>P8-07-01</t>
        </is>
      </c>
      <c r="B348" s="39" t="inlineStr">
        <is>
          <t>P8</t>
        </is>
      </c>
      <c r="C348" s="22" t="inlineStr">
        <is>
          <t>仕事</t>
        </is>
      </c>
      <c r="D348" s="39" t="n">
        <v>3</v>
      </c>
      <c r="E348" s="40" t="inlineStr">
        <is>
          <t>通院予定をカレンダーで共有する</t>
        </is>
      </c>
      <c r="F348" s="24" t="inlineStr">
        <is>
          <t>2人が予定を把握している</t>
        </is>
      </c>
      <c r="G348" s="24" t="inlineStr"/>
      <c r="H348" s="24" t="inlineStr"/>
      <c r="I348" s="24" t="inlineStr"/>
      <c r="J348" s="39" t="n">
        <v>25</v>
      </c>
      <c r="K348" s="41">
        <f>EDATE('はじめに'!$C$5,J348)</f>
        <v/>
      </c>
      <c r="L348" s="39" t="inlineStr">
        <is>
          <t>推奨</t>
        </is>
      </c>
      <c r="M348" s="39" t="inlineStr">
        <is>
          <t>2人</t>
        </is>
      </c>
      <c r="N348" s="39" t="inlineStr">
        <is>
          <t>15分</t>
        </is>
      </c>
      <c r="O348" s="24" t="inlineStr"/>
      <c r="P348" s="24" t="inlineStr"/>
      <c r="Q348" s="38" t="inlineStr">
        <is>
          <t>未着手</t>
        </is>
      </c>
      <c r="R348" s="28" t="inlineStr"/>
    </row>
    <row r="349" outlineLevel="1">
      <c r="A349" s="42" t="inlineStr">
        <is>
          <t>P8-07-02</t>
        </is>
      </c>
      <c r="B349" s="42" t="inlineStr">
        <is>
          <t>P8</t>
        </is>
      </c>
      <c r="C349" s="43" t="inlineStr">
        <is>
          <t>仕事</t>
        </is>
      </c>
      <c r="D349" s="42" t="n">
        <v>3</v>
      </c>
      <c r="E349" s="44" t="inlineStr">
        <is>
          <t>通院日は家事を自動的に相手へ振り替えるルールにする</t>
        </is>
      </c>
      <c r="F349" s="45" t="inlineStr">
        <is>
          <t>ルールが決まっている</t>
        </is>
      </c>
      <c r="G349" s="45" t="inlineStr"/>
      <c r="H349" s="45" t="inlineStr"/>
      <c r="I349" s="45" t="inlineStr"/>
      <c r="J349" s="42" t="n">
        <v>25</v>
      </c>
      <c r="K349" s="46">
        <f>EDATE('はじめに'!$C$5,J349)</f>
        <v/>
      </c>
      <c r="L349" s="42" t="inlineStr">
        <is>
          <t>推奨</t>
        </is>
      </c>
      <c r="M349" s="42" t="inlineStr">
        <is>
          <t>2人</t>
        </is>
      </c>
      <c r="N349" s="42" t="inlineStr">
        <is>
          <t>15分</t>
        </is>
      </c>
      <c r="O349" s="45" t="inlineStr"/>
      <c r="P349" s="45" t="inlineStr"/>
      <c r="Q349" s="38" t="inlineStr">
        <is>
          <t>未着手</t>
        </is>
      </c>
      <c r="R349" s="28" t="inlineStr"/>
    </row>
    <row r="350">
      <c r="A350" s="33" t="inlineStr">
        <is>
          <t>P8-08</t>
        </is>
      </c>
      <c r="B350" s="33" t="inlineStr">
        <is>
          <t>P8</t>
        </is>
      </c>
      <c r="C350" s="34" t="inlineStr">
        <is>
          <t>関係</t>
        </is>
      </c>
      <c r="D350" s="33" t="n">
        <v>2</v>
      </c>
      <c r="E350" s="35" t="inlineStr">
        <is>
          <t>メンタルの守り方をルール化する</t>
        </is>
      </c>
      <c r="F350" s="36" t="inlineStr">
        <is>
          <t>親への対応と情報との距離の取り方が決まっている</t>
        </is>
      </c>
      <c r="G350" s="36" t="inlineStr">
        <is>
          <t>周囲の妊娠報告・親からのプレッシャーにどう対応するか</t>
        </is>
      </c>
      <c r="H350" s="36" t="inlineStr">
        <is>
          <t>SNSを見る頻度を減らす／親には「聞かないでほしい」と伝える／不妊専門相談センター（各都道府県に設置）／カウンセリング</t>
        </is>
      </c>
      <c r="I350" s="36" t="inlineStr">
        <is>
          <t>親への説明は各自が自分の実親に対して行う。相手にやらせない。帰省の滞在時間を短くするのも有効</t>
        </is>
      </c>
      <c r="J350" s="33" t="n">
        <v>25</v>
      </c>
      <c r="K350" s="37">
        <f>EDATE('はじめに'!$C$5,J350)</f>
        <v/>
      </c>
      <c r="L350" s="33" t="inlineStr">
        <is>
          <t>推奨</t>
        </is>
      </c>
      <c r="M350" s="33" t="inlineStr">
        <is>
          <t>2人</t>
        </is>
      </c>
      <c r="N350" s="33" t="inlineStr">
        <is>
          <t>1時間</t>
        </is>
      </c>
      <c r="O350" s="36" t="inlineStr"/>
      <c r="P350" s="36" t="inlineStr"/>
      <c r="Q350" s="38" t="inlineStr">
        <is>
          <t>未着手</t>
        </is>
      </c>
      <c r="R350" s="28" t="inlineStr"/>
    </row>
    <row r="351" outlineLevel="1">
      <c r="A351" s="42" t="inlineStr">
        <is>
          <t>P8-08-01</t>
        </is>
      </c>
      <c r="B351" s="42" t="inlineStr">
        <is>
          <t>P8</t>
        </is>
      </c>
      <c r="C351" s="43" t="inlineStr">
        <is>
          <t>関係</t>
        </is>
      </c>
      <c r="D351" s="42" t="n">
        <v>3</v>
      </c>
      <c r="E351" s="44" t="inlineStr">
        <is>
          <t>各自が自分の実親に「聞かないでほしい」と伝える</t>
        </is>
      </c>
      <c r="F351" s="45" t="inlineStr">
        <is>
          <t>伝わっている</t>
        </is>
      </c>
      <c r="G351" s="45" t="inlineStr"/>
      <c r="H351" s="45" t="inlineStr"/>
      <c r="I351" s="45" t="inlineStr"/>
      <c r="J351" s="42" t="n">
        <v>25</v>
      </c>
      <c r="K351" s="46">
        <f>EDATE('はじめに'!$C$5,J351)</f>
        <v/>
      </c>
      <c r="L351" s="42" t="inlineStr">
        <is>
          <t>推奨</t>
        </is>
      </c>
      <c r="M351" s="42" t="inlineStr">
        <is>
          <t>2人</t>
        </is>
      </c>
      <c r="N351" s="42" t="inlineStr">
        <is>
          <t>1時間</t>
        </is>
      </c>
      <c r="O351" s="45" t="inlineStr"/>
      <c r="P351" s="45" t="inlineStr"/>
      <c r="Q351" s="38" t="inlineStr">
        <is>
          <t>未着手</t>
        </is>
      </c>
      <c r="R351" s="28" t="inlineStr"/>
    </row>
    <row r="352" outlineLevel="1">
      <c r="A352" s="39" t="inlineStr">
        <is>
          <t>P8-08-02</t>
        </is>
      </c>
      <c r="B352" s="39" t="inlineStr">
        <is>
          <t>P8</t>
        </is>
      </c>
      <c r="C352" s="22" t="inlineStr">
        <is>
          <t>関係</t>
        </is>
      </c>
      <c r="D352" s="39" t="n">
        <v>3</v>
      </c>
      <c r="E352" s="40" t="inlineStr">
        <is>
          <t>友人の妊娠報告への向き合い方を2人で決める（無理に会わなくてよい）</t>
        </is>
      </c>
      <c r="F352" s="24" t="inlineStr">
        <is>
          <t>方針が決まっている</t>
        </is>
      </c>
      <c r="G352" s="24" t="inlineStr"/>
      <c r="H352" s="24" t="inlineStr"/>
      <c r="I352" s="24" t="inlineStr"/>
      <c r="J352" s="39" t="n">
        <v>25</v>
      </c>
      <c r="K352" s="41">
        <f>EDATE('はじめに'!$C$5,J352)</f>
        <v/>
      </c>
      <c r="L352" s="39" t="inlineStr">
        <is>
          <t>任意</t>
        </is>
      </c>
      <c r="M352" s="39" t="inlineStr">
        <is>
          <t>2人</t>
        </is>
      </c>
      <c r="N352" s="39" t="inlineStr">
        <is>
          <t>30分</t>
        </is>
      </c>
      <c r="O352" s="24" t="inlineStr"/>
      <c r="P352" s="24" t="inlineStr"/>
      <c r="Q352" s="38" t="inlineStr">
        <is>
          <t>未着手</t>
        </is>
      </c>
      <c r="R352" s="28" t="inlineStr"/>
    </row>
    <row r="353" outlineLevel="1">
      <c r="A353" s="42" t="inlineStr">
        <is>
          <t>P8-08-03</t>
        </is>
      </c>
      <c r="B353" s="42" t="inlineStr">
        <is>
          <t>P8</t>
        </is>
      </c>
      <c r="C353" s="43" t="inlineStr">
        <is>
          <t>関係</t>
        </is>
      </c>
      <c r="D353" s="42" t="n">
        <v>3</v>
      </c>
      <c r="E353" s="44" t="inlineStr">
        <is>
          <t>つらいときの逃げ場（相談先・休む方法）を用意しておく</t>
        </is>
      </c>
      <c r="F353" s="45" t="inlineStr">
        <is>
          <t>相談先を知っている</t>
        </is>
      </c>
      <c r="G353" s="45" t="inlineStr"/>
      <c r="H353" s="45" t="inlineStr"/>
      <c r="I353" s="45" t="inlineStr"/>
      <c r="J353" s="42" t="n">
        <v>25</v>
      </c>
      <c r="K353" s="46">
        <f>EDATE('はじめに'!$C$5,J353)</f>
        <v/>
      </c>
      <c r="L353" s="42" t="inlineStr">
        <is>
          <t>任意</t>
        </is>
      </c>
      <c r="M353" s="42" t="inlineStr">
        <is>
          <t>2人</t>
        </is>
      </c>
      <c r="N353" s="42" t="inlineStr">
        <is>
          <t>30分</t>
        </is>
      </c>
      <c r="O353" s="45" t="inlineStr"/>
      <c r="P353" s="45" t="inlineStr"/>
      <c r="Q353" s="38" t="inlineStr">
        <is>
          <t>未着手</t>
        </is>
      </c>
      <c r="R353" s="28" t="inlineStr"/>
    </row>
    <row r="354">
      <c r="A354" s="33" t="inlineStr">
        <is>
          <t>P8-09</t>
        </is>
      </c>
      <c r="B354" s="33" t="inlineStr">
        <is>
          <t>P8</t>
        </is>
      </c>
      <c r="C354" s="34" t="inlineStr">
        <is>
          <t>妊活</t>
        </is>
      </c>
      <c r="D354" s="33" t="n">
        <v>2</v>
      </c>
      <c r="E354" s="35" t="inlineStr">
        <is>
          <t>妊娠判明</t>
        </is>
      </c>
      <c r="F354" s="36" t="inlineStr">
        <is>
          <t>検査薬陽性を確認し、受診の予約が取れている</t>
        </is>
      </c>
      <c r="G354" s="36" t="inlineStr"/>
      <c r="H354" s="36" t="inlineStr"/>
      <c r="I354" s="36" t="inlineStr"/>
      <c r="J354" s="33" t="n">
        <v>27</v>
      </c>
      <c r="K354" s="37">
        <f>EDATE('はじめに'!$C$5,J354)</f>
        <v/>
      </c>
      <c r="L354" s="33" t="inlineStr">
        <is>
          <t>推奨</t>
        </is>
      </c>
      <c r="M354" s="33" t="inlineStr">
        <is>
          <t>妊娠する側</t>
        </is>
      </c>
      <c r="N354" s="33" t="inlineStr">
        <is>
          <t>-</t>
        </is>
      </c>
      <c r="O354" s="36" t="inlineStr"/>
      <c r="P354" s="36" t="inlineStr"/>
      <c r="Q354" s="38" t="inlineStr">
        <is>
          <t>未着手</t>
        </is>
      </c>
      <c r="R354" s="28" t="inlineStr"/>
    </row>
    <row r="355">
      <c r="A355" s="33" t="inlineStr">
        <is>
          <t>P9-01</t>
        </is>
      </c>
      <c r="B355" s="33" t="inlineStr">
        <is>
          <t>P9</t>
        </is>
      </c>
      <c r="C355" s="34" t="inlineStr">
        <is>
          <t>医療</t>
        </is>
      </c>
      <c r="D355" s="33" t="n">
        <v>2</v>
      </c>
      <c r="E355" s="35" t="inlineStr">
        <is>
          <t>産婦人科を受診して妊娠を確定する</t>
        </is>
      </c>
      <c r="F355" s="36" t="inlineStr">
        <is>
          <t>心拍が確認され、出産予定日が確定している</t>
        </is>
      </c>
      <c r="G355" s="36" t="inlineStr"/>
      <c r="H355" s="36" t="inlineStr"/>
      <c r="I355" s="36" t="inlineStr"/>
      <c r="J355" s="33" t="n">
        <v>28</v>
      </c>
      <c r="K355" s="37">
        <f>EDATE('はじめに'!$C$5,J355)</f>
        <v/>
      </c>
      <c r="L355" s="33" t="inlineStr">
        <is>
          <t>推奨</t>
        </is>
      </c>
      <c r="M355" s="33" t="inlineStr">
        <is>
          <t>妊娠する側</t>
        </is>
      </c>
      <c r="N355" s="33" t="inlineStr">
        <is>
          <t>2〜3週間</t>
        </is>
      </c>
      <c r="O355" s="36" t="inlineStr">
        <is>
          <t>1〜2万円</t>
        </is>
      </c>
      <c r="P355" s="36" t="inlineStr">
        <is>
          <t>妊娠判明</t>
        </is>
      </c>
      <c r="Q355" s="38" t="inlineStr">
        <is>
          <t>未着手</t>
        </is>
      </c>
      <c r="R355" s="28" t="inlineStr"/>
    </row>
    <row r="356" outlineLevel="1">
      <c r="A356" s="39" t="inlineStr">
        <is>
          <t>P9-01-01</t>
        </is>
      </c>
      <c r="B356" s="39" t="inlineStr">
        <is>
          <t>P9</t>
        </is>
      </c>
      <c r="C356" s="22" t="inlineStr">
        <is>
          <t>医療</t>
        </is>
      </c>
      <c r="D356" s="39" t="n">
        <v>3</v>
      </c>
      <c r="E356" s="40" t="inlineStr">
        <is>
          <t>初診で胎嚢を確認する（5〜6週）</t>
        </is>
      </c>
      <c r="F356" s="24" t="inlineStr">
        <is>
          <t>胎嚢が確認できている</t>
        </is>
      </c>
      <c r="G356" s="24" t="inlineStr"/>
      <c r="H356" s="24" t="inlineStr"/>
      <c r="I356" s="24" t="inlineStr"/>
      <c r="J356" s="39" t="n">
        <v>28</v>
      </c>
      <c r="K356" s="41">
        <f>EDATE('はじめに'!$C$5,J356)</f>
        <v/>
      </c>
      <c r="L356" s="39" t="inlineStr">
        <is>
          <t>推奨</t>
        </is>
      </c>
      <c r="M356" s="39" t="inlineStr">
        <is>
          <t>妊娠する側</t>
        </is>
      </c>
      <c r="N356" s="39" t="inlineStr">
        <is>
          <t>半日</t>
        </is>
      </c>
      <c r="O356" s="24" t="inlineStr"/>
      <c r="P356" s="24" t="inlineStr"/>
      <c r="Q356" s="38" t="inlineStr">
        <is>
          <t>未着手</t>
        </is>
      </c>
      <c r="R356" s="28" t="inlineStr"/>
    </row>
    <row r="357" outlineLevel="1">
      <c r="A357" s="42" t="inlineStr">
        <is>
          <t>P9-01-02</t>
        </is>
      </c>
      <c r="B357" s="42" t="inlineStr">
        <is>
          <t>P9</t>
        </is>
      </c>
      <c r="C357" s="43" t="inlineStr">
        <is>
          <t>医療</t>
        </is>
      </c>
      <c r="D357" s="42" t="n">
        <v>3</v>
      </c>
      <c r="E357" s="44" t="inlineStr">
        <is>
          <t>心拍を確認し、出産予定日を確定する（6〜8週）</t>
        </is>
      </c>
      <c r="F357" s="45" t="inlineStr">
        <is>
          <t>予定日が分かっている</t>
        </is>
      </c>
      <c r="G357" s="45" t="inlineStr"/>
      <c r="H357" s="45" t="inlineStr"/>
      <c r="I357" s="45" t="inlineStr"/>
      <c r="J357" s="42" t="n">
        <v>28</v>
      </c>
      <c r="K357" s="46">
        <f>EDATE('はじめに'!$C$5,J357)</f>
        <v/>
      </c>
      <c r="L357" s="42" t="inlineStr">
        <is>
          <t>推奨</t>
        </is>
      </c>
      <c r="M357" s="42" t="inlineStr">
        <is>
          <t>妊娠する側</t>
        </is>
      </c>
      <c r="N357" s="42" t="inlineStr">
        <is>
          <t>半日</t>
        </is>
      </c>
      <c r="O357" s="45" t="inlineStr"/>
      <c r="P357" s="45" t="inlineStr"/>
      <c r="Q357" s="38" t="inlineStr">
        <is>
          <t>未着手</t>
        </is>
      </c>
      <c r="R357" s="28" t="inlineStr"/>
    </row>
    <row r="358" outlineLevel="1">
      <c r="A358" s="39" t="inlineStr">
        <is>
          <t>P9-01-03</t>
        </is>
      </c>
      <c r="B358" s="39" t="inlineStr">
        <is>
          <t>P9</t>
        </is>
      </c>
      <c r="C358" s="22" t="inlineStr">
        <is>
          <t>医療</t>
        </is>
      </c>
      <c r="D358" s="39" t="n">
        <v>3</v>
      </c>
      <c r="E358" s="40" t="inlineStr">
        <is>
          <t>服薬中の薬・サプリを医師に申告する</t>
        </is>
      </c>
      <c r="F358" s="24" t="inlineStr">
        <is>
          <t>継続可否が分かっている</t>
        </is>
      </c>
      <c r="G358" s="24" t="inlineStr"/>
      <c r="H358" s="24" t="inlineStr"/>
      <c r="I358" s="24" t="inlineStr"/>
      <c r="J358" s="39" t="n">
        <v>28</v>
      </c>
      <c r="K358" s="41">
        <f>EDATE('はじめに'!$C$5,J358)</f>
        <v/>
      </c>
      <c r="L358" s="39" t="inlineStr">
        <is>
          <t>推奨</t>
        </is>
      </c>
      <c r="M358" s="39" t="inlineStr">
        <is>
          <t>妊娠する側</t>
        </is>
      </c>
      <c r="N358" s="39" t="inlineStr">
        <is>
          <t>15分</t>
        </is>
      </c>
      <c r="O358" s="24" t="inlineStr"/>
      <c r="P358" s="24" t="inlineStr"/>
      <c r="Q358" s="38" t="inlineStr">
        <is>
          <t>未着手</t>
        </is>
      </c>
      <c r="R358" s="28" t="inlineStr"/>
    </row>
    <row r="359" outlineLevel="1">
      <c r="A359" s="42" t="inlineStr">
        <is>
          <t>P9-01-04</t>
        </is>
      </c>
      <c r="B359" s="42" t="inlineStr">
        <is>
          <t>P9</t>
        </is>
      </c>
      <c r="C359" s="43" t="inlineStr">
        <is>
          <t>医療</t>
        </is>
      </c>
      <c r="D359" s="42" t="n">
        <v>3</v>
      </c>
      <c r="E359" s="44" t="inlineStr">
        <is>
          <t>初期の血液検査（血液型・貧血・感染症・風疹抗体）を受ける</t>
        </is>
      </c>
      <c r="F359" s="45" t="inlineStr">
        <is>
          <t>結果が出ている</t>
        </is>
      </c>
      <c r="G359" s="45" t="inlineStr"/>
      <c r="H359" s="45" t="inlineStr"/>
      <c r="I359" s="45" t="inlineStr"/>
      <c r="J359" s="42" t="n">
        <v>29</v>
      </c>
      <c r="K359" s="46">
        <f>EDATE('はじめに'!$C$5,J359)</f>
        <v/>
      </c>
      <c r="L359" s="42" t="inlineStr">
        <is>
          <t>推奨</t>
        </is>
      </c>
      <c r="M359" s="42" t="inlineStr">
        <is>
          <t>妊娠する側</t>
        </is>
      </c>
      <c r="N359" s="42" t="inlineStr">
        <is>
          <t>半日</t>
        </is>
      </c>
      <c r="O359" s="45" t="inlineStr"/>
      <c r="P359" s="45" t="inlineStr"/>
      <c r="Q359" s="38" t="inlineStr">
        <is>
          <t>未着手</t>
        </is>
      </c>
      <c r="R359" s="28" t="inlineStr"/>
    </row>
    <row r="360">
      <c r="A360" s="33" t="inlineStr">
        <is>
          <t>P9-02</t>
        </is>
      </c>
      <c r="B360" s="33" t="inlineStr">
        <is>
          <t>P9</t>
        </is>
      </c>
      <c r="C360" s="34" t="inlineStr">
        <is>
          <t>行政</t>
        </is>
      </c>
      <c r="D360" s="33" t="n">
        <v>2</v>
      </c>
      <c r="E360" s="35" t="inlineStr">
        <is>
          <t>妊娠届を出して母子健康手帳を受け取る</t>
        </is>
      </c>
      <c r="F360" s="36" t="inlineStr">
        <is>
          <t>母子手帳と受診票14回分が手元にある</t>
        </is>
      </c>
      <c r="G360" s="36" t="inlineStr">
        <is>
          <t>誰が行くか、何をまとめて申請するか</t>
        </is>
      </c>
      <c r="H360" s="36" t="inlineStr">
        <is>
          <t>本人／パートナーの代理（可の自治体が多い）</t>
        </is>
      </c>
      <c r="I360" s="36" t="inlineStr">
        <is>
          <t>受診票14回分は10万円前後の補助。心拍確認後すみやかに。窓口で「他に受けられる支援を全部教えてください」と聞くと自治体独自の支援が出てくる</t>
        </is>
      </c>
      <c r="J360" s="33" t="n">
        <v>28</v>
      </c>
      <c r="K360" s="37">
        <f>EDATE('はじめに'!$C$5,J360)</f>
        <v/>
      </c>
      <c r="L360" s="33" t="inlineStr">
        <is>
          <t>法定</t>
        </is>
      </c>
      <c r="M360" s="33" t="inlineStr">
        <is>
          <t>どちらか</t>
        </is>
      </c>
      <c r="N360" s="33" t="inlineStr">
        <is>
          <t>1日</t>
        </is>
      </c>
      <c r="O360" s="36" t="inlineStr"/>
      <c r="P360" s="36" t="inlineStr">
        <is>
          <t>心拍の確認</t>
        </is>
      </c>
      <c r="Q360" s="38" t="inlineStr">
        <is>
          <t>未着手</t>
        </is>
      </c>
      <c r="R360" s="28" t="inlineStr"/>
    </row>
    <row r="361" outlineLevel="1">
      <c r="A361" s="42" t="inlineStr">
        <is>
          <t>P9-02-01</t>
        </is>
      </c>
      <c r="B361" s="42" t="inlineStr">
        <is>
          <t>P9</t>
        </is>
      </c>
      <c r="C361" s="43" t="inlineStr">
        <is>
          <t>行政</t>
        </is>
      </c>
      <c r="D361" s="42" t="n">
        <v>3</v>
      </c>
      <c r="E361" s="44" t="inlineStr">
        <is>
          <t>妊娠届を提出し、母子手帳と受診票を受け取る</t>
        </is>
      </c>
      <c r="F361" s="45" t="inlineStr">
        <is>
          <t>受け取り済み</t>
        </is>
      </c>
      <c r="G361" s="45" t="inlineStr"/>
      <c r="H361" s="45" t="inlineStr"/>
      <c r="I361" s="45" t="inlineStr"/>
      <c r="J361" s="42" t="n">
        <v>28</v>
      </c>
      <c r="K361" s="46">
        <f>EDATE('はじめに'!$C$5,J361)</f>
        <v/>
      </c>
      <c r="L361" s="42" t="inlineStr">
        <is>
          <t>法定</t>
        </is>
      </c>
      <c r="M361" s="42" t="inlineStr">
        <is>
          <t>どちらか</t>
        </is>
      </c>
      <c r="N361" s="42" t="inlineStr">
        <is>
          <t>2時間</t>
        </is>
      </c>
      <c r="O361" s="45" t="inlineStr"/>
      <c r="P361" s="45" t="inlineStr"/>
      <c r="Q361" s="38" t="inlineStr">
        <is>
          <t>未着手</t>
        </is>
      </c>
      <c r="R361" s="28" t="inlineStr"/>
    </row>
    <row r="362" outlineLevel="1">
      <c r="A362" s="39" t="inlineStr">
        <is>
          <t>P9-02-02</t>
        </is>
      </c>
      <c r="B362" s="39" t="inlineStr">
        <is>
          <t>P9</t>
        </is>
      </c>
      <c r="C362" s="22" t="inlineStr">
        <is>
          <t>行政</t>
        </is>
      </c>
      <c r="D362" s="39" t="n">
        <v>3</v>
      </c>
      <c r="E362" s="40" t="inlineStr">
        <is>
          <t>妊婦のための支援給付（第1回5万円）を申請する（面談が要件）</t>
        </is>
      </c>
      <c r="F362" s="24" t="inlineStr">
        <is>
          <t>申請済み</t>
        </is>
      </c>
      <c r="G362" s="24" t="inlineStr"/>
      <c r="H362" s="24" t="inlineStr"/>
      <c r="I362" s="24" t="inlineStr"/>
      <c r="J362" s="39" t="n">
        <v>28</v>
      </c>
      <c r="K362" s="41">
        <f>EDATE('はじめに'!$C$5,J362)</f>
        <v/>
      </c>
      <c r="L362" s="39" t="inlineStr">
        <is>
          <t>推奨</t>
        </is>
      </c>
      <c r="M362" s="39" t="inlineStr">
        <is>
          <t>妊娠する側</t>
        </is>
      </c>
      <c r="N362" s="39" t="inlineStr">
        <is>
          <t>1時間</t>
        </is>
      </c>
      <c r="O362" s="24" t="inlineStr"/>
      <c r="P362" s="24" t="inlineStr"/>
      <c r="Q362" s="38" t="inlineStr">
        <is>
          <t>未着手</t>
        </is>
      </c>
      <c r="R362" s="28" t="inlineStr"/>
    </row>
    <row r="363" outlineLevel="1">
      <c r="A363" s="42" t="inlineStr">
        <is>
          <t>P9-02-03</t>
        </is>
      </c>
      <c r="B363" s="42" t="inlineStr">
        <is>
          <t>P9</t>
        </is>
      </c>
      <c r="C363" s="43" t="inlineStr">
        <is>
          <t>行政</t>
        </is>
      </c>
      <c r="D363" s="42" t="n">
        <v>3</v>
      </c>
      <c r="E363" s="44" t="inlineStr">
        <is>
          <t>自治体独自の支援（タクシー券・家事支援・ギフト）を確認して申請する</t>
        </is>
      </c>
      <c r="F363" s="45" t="inlineStr">
        <is>
          <t>使える制度を全部把握している</t>
        </is>
      </c>
      <c r="G363" s="45" t="inlineStr"/>
      <c r="H363" s="45" t="inlineStr"/>
      <c r="I363" s="45" t="inlineStr"/>
      <c r="J363" s="42" t="n">
        <v>28</v>
      </c>
      <c r="K363" s="46">
        <f>EDATE('はじめに'!$C$5,J363)</f>
        <v/>
      </c>
      <c r="L363" s="42" t="inlineStr">
        <is>
          <t>推奨</t>
        </is>
      </c>
      <c r="M363" s="42" t="inlineStr">
        <is>
          <t>どちらか</t>
        </is>
      </c>
      <c r="N363" s="42" t="inlineStr">
        <is>
          <t>1時間</t>
        </is>
      </c>
      <c r="O363" s="45" t="inlineStr"/>
      <c r="P363" s="45" t="inlineStr"/>
      <c r="Q363" s="38" t="inlineStr">
        <is>
          <t>未着手</t>
        </is>
      </c>
      <c r="R363" s="28" t="inlineStr"/>
    </row>
    <row r="364" outlineLevel="1">
      <c r="A364" s="39" t="inlineStr">
        <is>
          <t>P9-02-04</t>
        </is>
      </c>
      <c r="B364" s="39" t="inlineStr">
        <is>
          <t>P9</t>
        </is>
      </c>
      <c r="C364" s="22" t="inlineStr">
        <is>
          <t>行政</t>
        </is>
      </c>
      <c r="D364" s="39" t="n">
        <v>3</v>
      </c>
      <c r="E364" s="40" t="inlineStr">
        <is>
          <t>産後ケア事業の内容と申請時期を確認する</t>
        </is>
      </c>
      <c r="F364" s="24" t="inlineStr">
        <is>
          <t>いつまでに何を出せばよいか分かっている</t>
        </is>
      </c>
      <c r="G364" s="24" t="inlineStr"/>
      <c r="H364" s="24" t="inlineStr"/>
      <c r="I364" s="24" t="inlineStr"/>
      <c r="J364" s="39" t="n">
        <v>28</v>
      </c>
      <c r="K364" s="41">
        <f>EDATE('はじめに'!$C$5,J364)</f>
        <v/>
      </c>
      <c r="L364" s="39" t="inlineStr">
        <is>
          <t>推奨</t>
        </is>
      </c>
      <c r="M364" s="39" t="inlineStr">
        <is>
          <t>どちらか</t>
        </is>
      </c>
      <c r="N364" s="39" t="inlineStr">
        <is>
          <t>30分</t>
        </is>
      </c>
      <c r="O364" s="24" t="inlineStr"/>
      <c r="P364" s="24" t="inlineStr"/>
      <c r="Q364" s="38" t="inlineStr">
        <is>
          <t>未着手</t>
        </is>
      </c>
      <c r="R364" s="28" t="inlineStr"/>
    </row>
    <row r="365" outlineLevel="1">
      <c r="A365" s="42" t="inlineStr">
        <is>
          <t>P9-02-05</t>
        </is>
      </c>
      <c r="B365" s="42" t="inlineStr">
        <is>
          <t>P9</t>
        </is>
      </c>
      <c r="C365" s="43" t="inlineStr">
        <is>
          <t>行政</t>
        </is>
      </c>
      <c r="D365" s="42" t="n">
        <v>3</v>
      </c>
      <c r="E365" s="44" t="inlineStr">
        <is>
          <t>両親学級・母親学級の日程を確認して申し込む（土日枠は争奪戦）</t>
        </is>
      </c>
      <c r="F365" s="45" t="inlineStr">
        <is>
          <t>予約が取れている</t>
        </is>
      </c>
      <c r="G365" s="45" t="inlineStr"/>
      <c r="H365" s="45" t="inlineStr"/>
      <c r="I365" s="45" t="inlineStr"/>
      <c r="J365" s="42" t="n">
        <v>29</v>
      </c>
      <c r="K365" s="46">
        <f>EDATE('はじめに'!$C$5,J365)</f>
        <v/>
      </c>
      <c r="L365" s="42" t="inlineStr">
        <is>
          <t>推奨</t>
        </is>
      </c>
      <c r="M365" s="42" t="inlineStr">
        <is>
          <t>2人</t>
        </is>
      </c>
      <c r="N365" s="42" t="inlineStr">
        <is>
          <t>1時間</t>
        </is>
      </c>
      <c r="O365" s="45" t="inlineStr"/>
      <c r="P365" s="45" t="inlineStr"/>
      <c r="Q365" s="38" t="inlineStr">
        <is>
          <t>未着手</t>
        </is>
      </c>
      <c r="R365" s="28" t="inlineStr"/>
    </row>
    <row r="366">
      <c r="A366" s="33" t="inlineStr">
        <is>
          <t>P9-03</t>
        </is>
      </c>
      <c r="B366" s="33" t="inlineStr">
        <is>
          <t>P9</t>
        </is>
      </c>
      <c r="C366" s="34" t="inlineStr">
        <is>
          <t>医療</t>
        </is>
      </c>
      <c r="D366" s="33" t="n">
        <v>2</v>
      </c>
      <c r="E366" s="35" t="inlineStr">
        <is>
          <t>産院を選ぶ</t>
        </is>
      </c>
      <c r="F366" s="36" t="inlineStr">
        <is>
          <t>産院が決まり、分娩予約が取れている</t>
        </is>
      </c>
      <c r="G366" s="36" t="inlineStr">
        <is>
          <t>どこで産むか</t>
        </is>
      </c>
      <c r="H366" s="36" t="inlineStr">
        <is>
          <t>①総合病院・大学病院（NICU併設、ハイリスク対応） ②個人クリニック（食事・設備が快適） ③助産院（自然分娩のみ） ④無痛分娩対応院</t>
        </is>
      </c>
      <c r="I366" s="36" t="inlineStr">
        <is>
          <t>判断軸：NICUの有無（何かあったときの搬送を避けられる）／無痛分娩の24時間対応か計画分娩か／立会いと面会のルール／総額費用／自宅からの距離と深夜の交通手段／里帰りするか</t>
        </is>
      </c>
      <c r="J366" s="33" t="n">
        <v>28</v>
      </c>
      <c r="K366" s="37">
        <f>EDATE('はじめに'!$C$5,J366)</f>
        <v/>
      </c>
      <c r="L366" s="33" t="inlineStr">
        <is>
          <t>推奨</t>
        </is>
      </c>
      <c r="M366" s="33" t="inlineStr">
        <is>
          <t>2人</t>
        </is>
      </c>
      <c r="N366" s="33" t="inlineStr">
        <is>
          <t>3週間</t>
        </is>
      </c>
      <c r="O366" s="36" t="inlineStr">
        <is>
          <t>予約金3〜10万円</t>
        </is>
      </c>
      <c r="P366" s="36" t="inlineStr">
        <is>
          <t>心拍の確認</t>
        </is>
      </c>
      <c r="Q366" s="38" t="inlineStr">
        <is>
          <t>未着手</t>
        </is>
      </c>
      <c r="R366" s="28" t="inlineStr"/>
    </row>
    <row r="367" outlineLevel="1">
      <c r="A367" s="42" t="inlineStr">
        <is>
          <t>P9-03-01</t>
        </is>
      </c>
      <c r="B367" s="42" t="inlineStr">
        <is>
          <t>P9</t>
        </is>
      </c>
      <c r="C367" s="43" t="inlineStr">
        <is>
          <t>医療</t>
        </is>
      </c>
      <c r="D367" s="42" t="n">
        <v>3</v>
      </c>
      <c r="E367" s="44" t="inlineStr">
        <is>
          <t>候補を3つ挙げて、費用・立会い・無痛の可否・NICUの有無を比較する</t>
        </is>
      </c>
      <c r="F367" s="45" t="inlineStr">
        <is>
          <t>比較表ができている</t>
        </is>
      </c>
      <c r="G367" s="45" t="inlineStr"/>
      <c r="H367" s="45" t="inlineStr"/>
      <c r="I367" s="45" t="inlineStr"/>
      <c r="J367" s="42" t="n">
        <v>28</v>
      </c>
      <c r="K367" s="46">
        <f>EDATE('はじめに'!$C$5,J367)</f>
        <v/>
      </c>
      <c r="L367" s="42" t="inlineStr">
        <is>
          <t>推奨</t>
        </is>
      </c>
      <c r="M367" s="42" t="inlineStr">
        <is>
          <t>2人</t>
        </is>
      </c>
      <c r="N367" s="42" t="inlineStr">
        <is>
          <t>2時間</t>
        </is>
      </c>
      <c r="O367" s="45" t="inlineStr"/>
      <c r="P367" s="45" t="inlineStr"/>
      <c r="Q367" s="38" t="inlineStr">
        <is>
          <t>未着手</t>
        </is>
      </c>
      <c r="R367" s="28" t="inlineStr"/>
    </row>
    <row r="368" outlineLevel="1">
      <c r="A368" s="39" t="inlineStr">
        <is>
          <t>P9-03-02</t>
        </is>
      </c>
      <c r="B368" s="39" t="inlineStr">
        <is>
          <t>P9</t>
        </is>
      </c>
      <c r="C368" s="22" t="inlineStr">
        <is>
          <t>医療</t>
        </is>
      </c>
      <c r="D368" s="39" t="n">
        <v>3</v>
      </c>
      <c r="E368" s="40" t="inlineStr">
        <is>
          <t>深夜に自宅から行く手段と所要時間を確認する</t>
        </is>
      </c>
      <c r="F368" s="24" t="inlineStr">
        <is>
          <t>移動手段が確保できる</t>
        </is>
      </c>
      <c r="G368" s="24" t="inlineStr"/>
      <c r="H368" s="24" t="inlineStr"/>
      <c r="I368" s="24" t="inlineStr"/>
      <c r="J368" s="39" t="n">
        <v>28</v>
      </c>
      <c r="K368" s="41">
        <f>EDATE('はじめに'!$C$5,J368)</f>
        <v/>
      </c>
      <c r="L368" s="39" t="inlineStr">
        <is>
          <t>推奨</t>
        </is>
      </c>
      <c r="M368" s="39" t="inlineStr">
        <is>
          <t>2人</t>
        </is>
      </c>
      <c r="N368" s="39" t="inlineStr">
        <is>
          <t>30分</t>
        </is>
      </c>
      <c r="O368" s="24" t="inlineStr"/>
      <c r="P368" s="24" t="inlineStr"/>
      <c r="Q368" s="38" t="inlineStr">
        <is>
          <t>未着手</t>
        </is>
      </c>
      <c r="R368" s="28" t="inlineStr"/>
    </row>
    <row r="369" outlineLevel="1">
      <c r="A369" s="42" t="inlineStr">
        <is>
          <t>P9-03-03</t>
        </is>
      </c>
      <c r="B369" s="42" t="inlineStr">
        <is>
          <t>P9</t>
        </is>
      </c>
      <c r="C369" s="43" t="inlineStr">
        <is>
          <t>医療</t>
        </is>
      </c>
      <c r="D369" s="42" t="n">
        <v>3</v>
      </c>
      <c r="E369" s="44" t="inlineStr">
        <is>
          <t>分娩予約を取る（人気院は心拍確認直後に埋まる。8〜12週が期限の院が多い）</t>
        </is>
      </c>
      <c r="F369" s="45" t="inlineStr">
        <is>
          <t>予約完了</t>
        </is>
      </c>
      <c r="G369" s="45" t="inlineStr"/>
      <c r="H369" s="45" t="inlineStr"/>
      <c r="I369" s="45" t="inlineStr"/>
      <c r="J369" s="42" t="n">
        <v>29</v>
      </c>
      <c r="K369" s="46">
        <f>EDATE('はじめに'!$C$5,J369)</f>
        <v/>
      </c>
      <c r="L369" s="42" t="inlineStr">
        <is>
          <t>推奨</t>
        </is>
      </c>
      <c r="M369" s="42" t="inlineStr">
        <is>
          <t>妊娠する側</t>
        </is>
      </c>
      <c r="N369" s="42" t="inlineStr">
        <is>
          <t>1時間</t>
        </is>
      </c>
      <c r="O369" s="45" t="inlineStr"/>
      <c r="P369" s="45" t="inlineStr"/>
      <c r="Q369" s="38" t="inlineStr">
        <is>
          <t>未着手</t>
        </is>
      </c>
      <c r="R369" s="28" t="inlineStr"/>
    </row>
    <row r="370" outlineLevel="1">
      <c r="A370" s="39" t="inlineStr">
        <is>
          <t>P9-03-04</t>
        </is>
      </c>
      <c r="B370" s="39" t="inlineStr">
        <is>
          <t>P9</t>
        </is>
      </c>
      <c r="C370" s="22" t="inlineStr">
        <is>
          <t>医療</t>
        </is>
      </c>
      <c r="D370" s="39" t="n">
        <v>3</v>
      </c>
      <c r="E370" s="40" t="inlineStr">
        <is>
          <t>無痛分娩にするか決める（24時間対応か計画分娩かを確認）</t>
        </is>
      </c>
      <c r="F370" s="24" t="inlineStr">
        <is>
          <t>方針が決まっている</t>
        </is>
      </c>
      <c r="G370" s="24" t="inlineStr"/>
      <c r="H370" s="24" t="inlineStr"/>
      <c r="I370" s="24" t="inlineStr"/>
      <c r="J370" s="39" t="n">
        <v>29</v>
      </c>
      <c r="K370" s="41">
        <f>EDATE('はじめに'!$C$5,J370)</f>
        <v/>
      </c>
      <c r="L370" s="39" t="inlineStr">
        <is>
          <t>任意</t>
        </is>
      </c>
      <c r="M370" s="39" t="inlineStr">
        <is>
          <t>2人</t>
        </is>
      </c>
      <c r="N370" s="39" t="inlineStr">
        <is>
          <t>1時間</t>
        </is>
      </c>
      <c r="O370" s="24" t="inlineStr">
        <is>
          <t>10〜20万円</t>
        </is>
      </c>
      <c r="P370" s="24" t="inlineStr"/>
      <c r="Q370" s="38" t="inlineStr">
        <is>
          <t>未着手</t>
        </is>
      </c>
      <c r="R370" s="28" t="inlineStr"/>
    </row>
    <row r="371">
      <c r="A371" s="33" t="inlineStr">
        <is>
          <t>P9-04</t>
        </is>
      </c>
      <c r="B371" s="33" t="inlineStr">
        <is>
          <t>P9</t>
        </is>
      </c>
      <c r="C371" s="34" t="inlineStr">
        <is>
          <t>医療</t>
        </is>
      </c>
      <c r="D371" s="33" t="n">
        <v>2</v>
      </c>
      <c r="E371" s="35" t="inlineStr">
        <is>
          <t>出生前検査を受けるかどうかを決める</t>
        </is>
      </c>
      <c r="F371" s="36" t="inlineStr">
        <is>
          <t>受ける／受けないが決まり、受けるなら予約済み</t>
        </is>
      </c>
      <c r="G371" s="36" t="inlineStr">
        <is>
          <t>受けるか／受けるなら何を／陽性だったらどうするか</t>
        </is>
      </c>
      <c r="H371" s="36" t="inlineStr">
        <is>
          <t>NIPT（10週〜、認証施設、15〜20万円）／コンバインド検査（11〜13週）／クアトロテスト（15〜18週）／絨毛検査（11〜14週、確定）／羊水検査（15〜16週〜、確定）</t>
        </is>
      </c>
      <c r="I371" s="36" t="inlineStr">
        <is>
          <t>結果が出てからでは話し合う時間がない。「陽性ならどうするか」を先に合意してから受ける。ここは夫婦で最も価値観が割れる論点。10週より前に話し始める</t>
        </is>
      </c>
      <c r="J371" s="33" t="n">
        <v>29</v>
      </c>
      <c r="K371" s="37">
        <f>EDATE('はじめに'!$C$5,J371)</f>
        <v/>
      </c>
      <c r="L371" s="33" t="inlineStr">
        <is>
          <t>任意</t>
        </is>
      </c>
      <c r="M371" s="33" t="inlineStr">
        <is>
          <t>2人</t>
        </is>
      </c>
      <c r="N371" s="33" t="inlineStr">
        <is>
          <t>2〜3週間</t>
        </is>
      </c>
      <c r="O371" s="36" t="inlineStr">
        <is>
          <t>0〜20万円</t>
        </is>
      </c>
      <c r="P371" s="36" t="inlineStr">
        <is>
          <t>心拍の確認</t>
        </is>
      </c>
      <c r="Q371" s="38" t="inlineStr">
        <is>
          <t>未着手</t>
        </is>
      </c>
      <c r="R371" s="28" t="inlineStr"/>
    </row>
    <row r="372" outlineLevel="1">
      <c r="A372" s="39" t="inlineStr">
        <is>
          <t>P9-04-01</t>
        </is>
      </c>
      <c r="B372" s="39" t="inlineStr">
        <is>
          <t>P9</t>
        </is>
      </c>
      <c r="C372" s="22" t="inlineStr">
        <is>
          <t>医療</t>
        </is>
      </c>
      <c r="D372" s="39" t="n">
        <v>3</v>
      </c>
      <c r="E372" s="40" t="inlineStr">
        <is>
          <t>検査の種類・時期・精度・費用を2人で同じ資料で理解する</t>
        </is>
      </c>
      <c r="F372" s="24" t="inlineStr">
        <is>
          <t>共通の理解ができている</t>
        </is>
      </c>
      <c r="G372" s="24" t="inlineStr"/>
      <c r="H372" s="24" t="inlineStr"/>
      <c r="I372" s="24" t="inlineStr"/>
      <c r="J372" s="39" t="n">
        <v>29</v>
      </c>
      <c r="K372" s="41">
        <f>EDATE('はじめに'!$C$5,J372)</f>
        <v/>
      </c>
      <c r="L372" s="39" t="inlineStr">
        <is>
          <t>推奨</t>
        </is>
      </c>
      <c r="M372" s="39" t="inlineStr">
        <is>
          <t>2人</t>
        </is>
      </c>
      <c r="N372" s="39" t="inlineStr">
        <is>
          <t>2時間</t>
        </is>
      </c>
      <c r="O372" s="24" t="inlineStr"/>
      <c r="P372" s="24" t="inlineStr"/>
      <c r="Q372" s="38" t="inlineStr">
        <is>
          <t>未着手</t>
        </is>
      </c>
      <c r="R372" s="28" t="inlineStr"/>
    </row>
    <row r="373" outlineLevel="1">
      <c r="A373" s="42" t="inlineStr">
        <is>
          <t>P9-04-02</t>
        </is>
      </c>
      <c r="B373" s="42" t="inlineStr">
        <is>
          <t>P9</t>
        </is>
      </c>
      <c r="C373" s="43" t="inlineStr">
        <is>
          <t>医療</t>
        </is>
      </c>
      <c r="D373" s="42" t="n">
        <v>3</v>
      </c>
      <c r="E373" s="44" t="inlineStr">
        <is>
          <t>「陽性だった場合どうするか」を先に話し合う</t>
        </is>
      </c>
      <c r="F373" s="45" t="inlineStr">
        <is>
          <t>結論または「結論を出せない」ことが共有されている</t>
        </is>
      </c>
      <c r="G373" s="45" t="inlineStr"/>
      <c r="H373" s="45" t="inlineStr"/>
      <c r="I373" s="45" t="inlineStr"/>
      <c r="J373" s="42" t="n">
        <v>29</v>
      </c>
      <c r="K373" s="46">
        <f>EDATE('はじめに'!$C$5,J373)</f>
        <v/>
      </c>
      <c r="L373" s="42" t="inlineStr">
        <is>
          <t>推奨</t>
        </is>
      </c>
      <c r="M373" s="42" t="inlineStr">
        <is>
          <t>2人</t>
        </is>
      </c>
      <c r="N373" s="42" t="inlineStr">
        <is>
          <t>2時間</t>
        </is>
      </c>
      <c r="O373" s="45" t="inlineStr"/>
      <c r="P373" s="45" t="inlineStr"/>
      <c r="Q373" s="38" t="inlineStr">
        <is>
          <t>未着手</t>
        </is>
      </c>
      <c r="R373" s="28" t="inlineStr"/>
    </row>
    <row r="374" outlineLevel="1">
      <c r="A374" s="39" t="inlineStr">
        <is>
          <t>P9-04-03</t>
        </is>
      </c>
      <c r="B374" s="39" t="inlineStr">
        <is>
          <t>P9</t>
        </is>
      </c>
      <c r="C374" s="22" t="inlineStr">
        <is>
          <t>医療</t>
        </is>
      </c>
      <c r="D374" s="39" t="n">
        <v>3</v>
      </c>
      <c r="E374" s="40" t="inlineStr">
        <is>
          <t>受けるなら認証施設を選んで予約する（遺伝カウンセリング付き）</t>
        </is>
      </c>
      <c r="F374" s="24" t="inlineStr">
        <is>
          <t>予約済み</t>
        </is>
      </c>
      <c r="G374" s="24" t="inlineStr"/>
      <c r="H374" s="24" t="inlineStr"/>
      <c r="I374" s="24" t="inlineStr"/>
      <c r="J374" s="39" t="n">
        <v>29</v>
      </c>
      <c r="K374" s="41">
        <f>EDATE('はじめに'!$C$5,J374)</f>
        <v/>
      </c>
      <c r="L374" s="39" t="inlineStr">
        <is>
          <t>任意</t>
        </is>
      </c>
      <c r="M374" s="39" t="inlineStr">
        <is>
          <t>2人</t>
        </is>
      </c>
      <c r="N374" s="39" t="inlineStr">
        <is>
          <t>1時間</t>
        </is>
      </c>
      <c r="O374" s="24" t="inlineStr"/>
      <c r="P374" s="24" t="inlineStr"/>
      <c r="Q374" s="38" t="inlineStr">
        <is>
          <t>未着手</t>
        </is>
      </c>
      <c r="R374" s="28" t="inlineStr"/>
    </row>
    <row r="375" outlineLevel="1">
      <c r="A375" s="42" t="inlineStr">
        <is>
          <t>P9-04-04</t>
        </is>
      </c>
      <c r="B375" s="42" t="inlineStr">
        <is>
          <t>P9</t>
        </is>
      </c>
      <c r="C375" s="43" t="inlineStr">
        <is>
          <t>医療</t>
        </is>
      </c>
      <c r="D375" s="42" t="n">
        <v>3</v>
      </c>
      <c r="E375" s="44" t="inlineStr">
        <is>
          <t>結果を2人で聞く</t>
        </is>
      </c>
      <c r="F375" s="45" t="inlineStr">
        <is>
          <t>結果を共有している</t>
        </is>
      </c>
      <c r="G375" s="45" t="inlineStr"/>
      <c r="H375" s="45" t="inlineStr"/>
      <c r="I375" s="45" t="inlineStr"/>
      <c r="J375" s="42" t="n">
        <v>30</v>
      </c>
      <c r="K375" s="46">
        <f>EDATE('はじめに'!$C$5,J375)</f>
        <v/>
      </c>
      <c r="L375" s="42" t="inlineStr">
        <is>
          <t>任意</t>
        </is>
      </c>
      <c r="M375" s="42" t="inlineStr">
        <is>
          <t>2人</t>
        </is>
      </c>
      <c r="N375" s="42" t="inlineStr">
        <is>
          <t>半日</t>
        </is>
      </c>
      <c r="O375" s="45" t="inlineStr"/>
      <c r="P375" s="45" t="inlineStr"/>
      <c r="Q375" s="38" t="inlineStr">
        <is>
          <t>未着手</t>
        </is>
      </c>
      <c r="R375" s="28" t="inlineStr"/>
    </row>
    <row r="376">
      <c r="A376" s="33" t="inlineStr">
        <is>
          <t>P9-05</t>
        </is>
      </c>
      <c r="B376" s="33" t="inlineStr">
        <is>
          <t>P9</t>
        </is>
      </c>
      <c r="C376" s="34" t="inlineStr">
        <is>
          <t>仕事</t>
        </is>
      </c>
      <c r="D376" s="33" t="n">
        <v>2</v>
      </c>
      <c r="E376" s="35" t="inlineStr">
        <is>
          <t>勤務先へ報告し、つわり期の勤務を調整する</t>
        </is>
      </c>
      <c r="F376" s="36" t="inlineStr">
        <is>
          <t>上司が把握し、必要な配慮が得られている</t>
        </is>
      </c>
      <c r="G376" s="36" t="inlineStr"/>
      <c r="H376" s="36" t="inlineStr"/>
      <c r="I376" s="36" t="inlineStr"/>
      <c r="J376" s="33" t="n">
        <v>29</v>
      </c>
      <c r="K376" s="37">
        <f>EDATE('はじめに'!$C$5,J376)</f>
        <v/>
      </c>
      <c r="L376" s="33" t="inlineStr">
        <is>
          <t>推奨</t>
        </is>
      </c>
      <c r="M376" s="33" t="inlineStr">
        <is>
          <t>妊娠する側</t>
        </is>
      </c>
      <c r="N376" s="33" t="inlineStr">
        <is>
          <t>1週間</t>
        </is>
      </c>
      <c r="O376" s="36" t="inlineStr"/>
      <c r="P376" s="36" t="inlineStr">
        <is>
          <t>心拍の確認</t>
        </is>
      </c>
      <c r="Q376" s="38" t="inlineStr">
        <is>
          <t>未着手</t>
        </is>
      </c>
      <c r="R376" s="28" t="inlineStr"/>
    </row>
    <row r="377" outlineLevel="1">
      <c r="A377" s="42" t="inlineStr">
        <is>
          <t>P9-05-01</t>
        </is>
      </c>
      <c r="B377" s="42" t="inlineStr">
        <is>
          <t>P9</t>
        </is>
      </c>
      <c r="C377" s="43" t="inlineStr">
        <is>
          <t>仕事</t>
        </is>
      </c>
      <c r="D377" s="42" t="n">
        <v>3</v>
      </c>
      <c r="E377" s="44" t="inlineStr">
        <is>
          <t>直属上司に報告する（体調次第で安定期前でも可）</t>
        </is>
      </c>
      <c r="F377" s="45" t="inlineStr">
        <is>
          <t>報告済み</t>
        </is>
      </c>
      <c r="G377" s="45" t="inlineStr"/>
      <c r="H377" s="45" t="inlineStr"/>
      <c r="I377" s="45" t="inlineStr"/>
      <c r="J377" s="42" t="n">
        <v>29</v>
      </c>
      <c r="K377" s="46">
        <f>EDATE('はじめに'!$C$5,J377)</f>
        <v/>
      </c>
      <c r="L377" s="42" t="inlineStr">
        <is>
          <t>推奨</t>
        </is>
      </c>
      <c r="M377" s="42" t="inlineStr">
        <is>
          <t>妊娠する側</t>
        </is>
      </c>
      <c r="N377" s="42" t="inlineStr">
        <is>
          <t>1時間</t>
        </is>
      </c>
      <c r="O377" s="45" t="inlineStr"/>
      <c r="P377" s="45" t="inlineStr"/>
      <c r="Q377" s="38" t="inlineStr">
        <is>
          <t>未着手</t>
        </is>
      </c>
      <c r="R377" s="28" t="inlineStr"/>
    </row>
    <row r="378" outlineLevel="1">
      <c r="A378" s="39" t="inlineStr">
        <is>
          <t>P9-05-02</t>
        </is>
      </c>
      <c r="B378" s="39" t="inlineStr">
        <is>
          <t>P9</t>
        </is>
      </c>
      <c r="C378" s="22" t="inlineStr">
        <is>
          <t>仕事</t>
        </is>
      </c>
      <c r="D378" s="39" t="n">
        <v>3</v>
      </c>
      <c r="E378" s="40" t="inlineStr">
        <is>
          <t>母性健康管理指導事項連絡カードの存在を把握し、必要なら医師に記入依頼する</t>
        </is>
      </c>
      <c r="F378" s="24" t="inlineStr">
        <is>
          <t>必要時に使える状態</t>
        </is>
      </c>
      <c r="G378" s="24" t="inlineStr"/>
      <c r="H378" s="24" t="inlineStr"/>
      <c r="I378" s="24" t="inlineStr"/>
      <c r="J378" s="39" t="n">
        <v>29</v>
      </c>
      <c r="K378" s="41">
        <f>EDATE('はじめに'!$C$5,J378)</f>
        <v/>
      </c>
      <c r="L378" s="39" t="inlineStr">
        <is>
          <t>法定</t>
        </is>
      </c>
      <c r="M378" s="39" t="inlineStr">
        <is>
          <t>妊娠する側</t>
        </is>
      </c>
      <c r="N378" s="39" t="inlineStr">
        <is>
          <t>30分</t>
        </is>
      </c>
      <c r="O378" s="24" t="inlineStr"/>
      <c r="P378" s="24" t="inlineStr"/>
      <c r="Q378" s="38" t="inlineStr">
        <is>
          <t>未着手</t>
        </is>
      </c>
      <c r="R378" s="28" t="inlineStr"/>
    </row>
    <row r="379" outlineLevel="1">
      <c r="A379" s="42" t="inlineStr">
        <is>
          <t>P9-05-03</t>
        </is>
      </c>
      <c r="B379" s="42" t="inlineStr">
        <is>
          <t>P9</t>
        </is>
      </c>
      <c r="C379" s="43" t="inlineStr">
        <is>
          <t>仕事</t>
        </is>
      </c>
      <c r="D379" s="42" t="n">
        <v>3</v>
      </c>
      <c r="E379" s="44" t="inlineStr">
        <is>
          <t>通勤時間の変更・在宅勤務・時差出勤を申請する</t>
        </is>
      </c>
      <c r="F379" s="45" t="inlineStr">
        <is>
          <t>負担が軽くなっている</t>
        </is>
      </c>
      <c r="G379" s="45" t="inlineStr"/>
      <c r="H379" s="45" t="inlineStr"/>
      <c r="I379" s="45" t="inlineStr"/>
      <c r="J379" s="42" t="n">
        <v>29</v>
      </c>
      <c r="K379" s="46">
        <f>EDATE('はじめに'!$C$5,J379)</f>
        <v/>
      </c>
      <c r="L379" s="42" t="inlineStr">
        <is>
          <t>推奨</t>
        </is>
      </c>
      <c r="M379" s="42" t="inlineStr">
        <is>
          <t>妊娠する側</t>
        </is>
      </c>
      <c r="N379" s="42" t="inlineStr">
        <is>
          <t>1時間</t>
        </is>
      </c>
      <c r="O379" s="45" t="inlineStr"/>
      <c r="P379" s="45" t="inlineStr"/>
      <c r="Q379" s="38" t="inlineStr">
        <is>
          <t>未着手</t>
        </is>
      </c>
      <c r="R379" s="28" t="inlineStr"/>
    </row>
    <row r="380" outlineLevel="1">
      <c r="A380" s="39" t="inlineStr">
        <is>
          <t>P9-05-04</t>
        </is>
      </c>
      <c r="B380" s="39" t="inlineStr">
        <is>
          <t>P9</t>
        </is>
      </c>
      <c r="C380" s="22" t="inlineStr">
        <is>
          <t>仕事</t>
        </is>
      </c>
      <c r="D380" s="39" t="n">
        <v>3</v>
      </c>
      <c r="E380" s="40" t="inlineStr">
        <is>
          <t>パートナー側も自分の会社に報告し、育休の相談を始める</t>
        </is>
      </c>
      <c r="F380" s="24" t="inlineStr">
        <is>
          <t>会社が把握している</t>
        </is>
      </c>
      <c r="G380" s="24" t="inlineStr"/>
      <c r="H380" s="24" t="inlineStr"/>
      <c r="I380" s="24" t="inlineStr"/>
      <c r="J380" s="39" t="n">
        <v>29</v>
      </c>
      <c r="K380" s="41">
        <f>EDATE('はじめに'!$C$5,J380)</f>
        <v/>
      </c>
      <c r="L380" s="39" t="inlineStr">
        <is>
          <t>推奨</t>
        </is>
      </c>
      <c r="M380" s="39" t="inlineStr">
        <is>
          <t>パートナー</t>
        </is>
      </c>
      <c r="N380" s="39" t="inlineStr">
        <is>
          <t>1時間</t>
        </is>
      </c>
      <c r="O380" s="24" t="inlineStr"/>
      <c r="P380" s="24" t="inlineStr"/>
      <c r="Q380" s="38" t="inlineStr">
        <is>
          <t>未着手</t>
        </is>
      </c>
      <c r="R380" s="28" t="inlineStr"/>
    </row>
    <row r="381">
      <c r="A381" s="33" t="inlineStr">
        <is>
          <t>P9-06</t>
        </is>
      </c>
      <c r="B381" s="33" t="inlineStr">
        <is>
          <t>P9</t>
        </is>
      </c>
      <c r="C381" s="34" t="inlineStr">
        <is>
          <t>関係</t>
        </is>
      </c>
      <c r="D381" s="33" t="n">
        <v>2</v>
      </c>
      <c r="E381" s="35" t="inlineStr">
        <is>
          <t>つわり期の家事を全面的に引き取る体制を作る</t>
        </is>
      </c>
      <c r="F381" s="36" t="inlineStr">
        <is>
          <t>妊娠する側が家事をゼロにできる状態</t>
        </is>
      </c>
      <c r="G381" s="36" t="inlineStr">
        <is>
          <t>何をどう肩代わりするか</t>
        </is>
      </c>
      <c r="H381" s="36" t="inlineStr">
        <is>
          <t>宅配（コープ／パルシステム／オイシックス）／ミールキット／ネットスーパー／家事代行（CaSy／ベアーズ／タスカジ）／時短家電</t>
        </is>
      </c>
      <c r="I381" s="36" t="inlineStr">
        <is>
          <t>「手伝う」ではなく「引き取る」。ここでの対応が産後の信頼残高になる。においがダメになるので調理担当の交代が特に効く</t>
        </is>
      </c>
      <c r="J381" s="33" t="n">
        <v>29</v>
      </c>
      <c r="K381" s="37">
        <f>EDATE('はじめに'!$C$5,J381)</f>
        <v/>
      </c>
      <c r="L381" s="33" t="inlineStr">
        <is>
          <t>推奨</t>
        </is>
      </c>
      <c r="M381" s="33" t="inlineStr">
        <is>
          <t>パートナー</t>
        </is>
      </c>
      <c r="N381" s="33" t="inlineStr">
        <is>
          <t>1週間</t>
        </is>
      </c>
      <c r="O381" s="36" t="inlineStr">
        <is>
          <t>5,000〜3万円/月</t>
        </is>
      </c>
      <c r="P381" s="36" t="inlineStr">
        <is>
          <t>妊娠の確定</t>
        </is>
      </c>
      <c r="Q381" s="38" t="inlineStr">
        <is>
          <t>未着手</t>
        </is>
      </c>
      <c r="R381" s="28" t="inlineStr"/>
    </row>
    <row r="382" outlineLevel="1">
      <c r="A382" s="39" t="inlineStr">
        <is>
          <t>P9-06-01</t>
        </is>
      </c>
      <c r="B382" s="39" t="inlineStr">
        <is>
          <t>P9</t>
        </is>
      </c>
      <c r="C382" s="22" t="inlineStr">
        <is>
          <t>関係</t>
        </is>
      </c>
      <c r="D382" s="39" t="n">
        <v>3</v>
      </c>
      <c r="E382" s="40" t="inlineStr">
        <is>
          <t>家事分担表を「つわり期版」に書き換える</t>
        </is>
      </c>
      <c r="F382" s="24" t="inlineStr">
        <is>
          <t>書き換わっている</t>
        </is>
      </c>
      <c r="G382" s="24" t="inlineStr"/>
      <c r="H382" s="24" t="inlineStr"/>
      <c r="I382" s="24" t="inlineStr"/>
      <c r="J382" s="39" t="n">
        <v>29</v>
      </c>
      <c r="K382" s="41">
        <f>EDATE('はじめに'!$C$5,J382)</f>
        <v/>
      </c>
      <c r="L382" s="39" t="inlineStr">
        <is>
          <t>推奨</t>
        </is>
      </c>
      <c r="M382" s="39" t="inlineStr">
        <is>
          <t>2人</t>
        </is>
      </c>
      <c r="N382" s="39" t="inlineStr">
        <is>
          <t>30分</t>
        </is>
      </c>
      <c r="O382" s="24" t="inlineStr"/>
      <c r="P382" s="24" t="inlineStr"/>
      <c r="Q382" s="38" t="inlineStr">
        <is>
          <t>未着手</t>
        </is>
      </c>
      <c r="R382" s="28" t="inlineStr"/>
    </row>
    <row r="383" outlineLevel="1">
      <c r="A383" s="42" t="inlineStr">
        <is>
          <t>P9-06-02</t>
        </is>
      </c>
      <c r="B383" s="42" t="inlineStr">
        <is>
          <t>P9</t>
        </is>
      </c>
      <c r="C383" s="43" t="inlineStr">
        <is>
          <t>関係</t>
        </is>
      </c>
      <c r="D383" s="42" t="n">
        <v>3</v>
      </c>
      <c r="E383" s="44" t="inlineStr">
        <is>
          <t>宅配・ミールキットを契約して初回を回す</t>
        </is>
      </c>
      <c r="F383" s="45" t="inlineStr">
        <is>
          <t>運用が始まっている</t>
        </is>
      </c>
      <c r="G383" s="45" t="inlineStr"/>
      <c r="H383" s="45" t="inlineStr"/>
      <c r="I383" s="45" t="inlineStr"/>
      <c r="J383" s="42" t="n">
        <v>29</v>
      </c>
      <c r="K383" s="46">
        <f>EDATE('はじめに'!$C$5,J383)</f>
        <v/>
      </c>
      <c r="L383" s="42" t="inlineStr">
        <is>
          <t>推奨</t>
        </is>
      </c>
      <c r="M383" s="42" t="inlineStr">
        <is>
          <t>パートナー</t>
        </is>
      </c>
      <c r="N383" s="42" t="inlineStr">
        <is>
          <t>2時間</t>
        </is>
      </c>
      <c r="O383" s="45" t="inlineStr"/>
      <c r="P383" s="45" t="inlineStr"/>
      <c r="Q383" s="38" t="inlineStr">
        <is>
          <t>未着手</t>
        </is>
      </c>
      <c r="R383" s="28" t="inlineStr"/>
    </row>
    <row r="384" outlineLevel="1">
      <c r="A384" s="39" t="inlineStr">
        <is>
          <t>P9-06-03</t>
        </is>
      </c>
      <c r="B384" s="39" t="inlineStr">
        <is>
          <t>P9</t>
        </is>
      </c>
      <c r="C384" s="22" t="inlineStr">
        <is>
          <t>関係</t>
        </is>
      </c>
      <c r="D384" s="39" t="n">
        <v>3</v>
      </c>
      <c r="E384" s="40" t="inlineStr">
        <is>
          <t>食べられるものを都度買ってこられる体制にする</t>
        </is>
      </c>
      <c r="F384" s="24" t="inlineStr">
        <is>
          <t>対応できている</t>
        </is>
      </c>
      <c r="G384" s="24" t="inlineStr"/>
      <c r="H384" s="24" t="inlineStr"/>
      <c r="I384" s="24" t="inlineStr"/>
      <c r="J384" s="39" t="n">
        <v>29</v>
      </c>
      <c r="K384" s="41">
        <f>EDATE('はじめに'!$C$5,J384)</f>
        <v/>
      </c>
      <c r="L384" s="39" t="inlineStr">
        <is>
          <t>推奨</t>
        </is>
      </c>
      <c r="M384" s="39" t="inlineStr">
        <is>
          <t>パートナー</t>
        </is>
      </c>
      <c r="N384" s="39" t="inlineStr">
        <is>
          <t>継続</t>
        </is>
      </c>
      <c r="O384" s="24" t="inlineStr"/>
      <c r="P384" s="24" t="inlineStr"/>
      <c r="Q384" s="38" t="inlineStr">
        <is>
          <t>未着手</t>
        </is>
      </c>
      <c r="R384" s="28" t="inlineStr"/>
    </row>
    <row r="385" outlineLevel="1">
      <c r="A385" s="42" t="inlineStr">
        <is>
          <t>P9-06-04</t>
        </is>
      </c>
      <c r="B385" s="42" t="inlineStr">
        <is>
          <t>P9</t>
        </is>
      </c>
      <c r="C385" s="43" t="inlineStr">
        <is>
          <t>医療</t>
        </is>
      </c>
      <c r="D385" s="42" t="n">
        <v>3</v>
      </c>
      <c r="E385" s="44" t="inlineStr">
        <is>
          <t>水も飲めない・体重が5%減った場合は妊娠悪阻として受診する</t>
        </is>
      </c>
      <c r="F385" s="45" t="inlineStr">
        <is>
          <t>受診の閾値を2人が知っている</t>
        </is>
      </c>
      <c r="G385" s="45" t="inlineStr"/>
      <c r="H385" s="45" t="inlineStr"/>
      <c r="I385" s="45" t="inlineStr"/>
      <c r="J385" s="42" t="n">
        <v>29</v>
      </c>
      <c r="K385" s="46">
        <f>EDATE('はじめに'!$C$5,J385)</f>
        <v/>
      </c>
      <c r="L385" s="42" t="inlineStr">
        <is>
          <t>推奨</t>
        </is>
      </c>
      <c r="M385" s="42" t="inlineStr">
        <is>
          <t>2人</t>
        </is>
      </c>
      <c r="N385" s="42" t="inlineStr">
        <is>
          <t>15分</t>
        </is>
      </c>
      <c r="O385" s="45" t="inlineStr"/>
      <c r="P385" s="45" t="inlineStr"/>
      <c r="Q385" s="38" t="inlineStr">
        <is>
          <t>未着手</t>
        </is>
      </c>
      <c r="R385" s="28" t="inlineStr"/>
    </row>
    <row r="386">
      <c r="A386" s="33" t="inlineStr">
        <is>
          <t>P9-07</t>
        </is>
      </c>
      <c r="B386" s="33" t="inlineStr">
        <is>
          <t>P9</t>
        </is>
      </c>
      <c r="C386" s="34" t="inlineStr">
        <is>
          <t>住まい</t>
        </is>
      </c>
      <c r="D386" s="33" t="n">
        <v>2</v>
      </c>
      <c r="E386" s="35" t="inlineStr">
        <is>
          <t>保活を見越して引っ越すかどうかを再判断する</t>
        </is>
      </c>
      <c r="F386" s="36" t="inlineStr">
        <is>
          <t>引っ越す／引っ越さないが決まっている</t>
        </is>
      </c>
      <c r="G386" s="36" t="inlineStr">
        <is>
          <t>今の家・今の自治体で子育てできるか</t>
        </is>
      </c>
      <c r="H386" s="36" t="inlineStr">
        <is>
          <t>現状維持／同一自治体内で広い部屋へ／保育園に入りやすい自治体へ／実家の近くへ／購入</t>
        </is>
      </c>
      <c r="I386" s="36" t="inlineStr">
        <is>
          <t>引っ越すなら妊娠中期（〜7ヶ月）まで。産後の引っ越しは現実的に不可能。認可保育園の申込は住民票の自治体で行うため、転居は申込前に済ませる</t>
        </is>
      </c>
      <c r="J386" s="33" t="n">
        <v>30</v>
      </c>
      <c r="K386" s="37">
        <f>EDATE('はじめに'!$C$5,J386)</f>
        <v/>
      </c>
      <c r="L386" s="33" t="inlineStr">
        <is>
          <t>推奨</t>
        </is>
      </c>
      <c r="M386" s="33" t="inlineStr">
        <is>
          <t>2人</t>
        </is>
      </c>
      <c r="N386" s="33" t="inlineStr">
        <is>
          <t>2週間</t>
        </is>
      </c>
      <c r="O386" s="36" t="inlineStr">
        <is>
          <t>30〜100万円</t>
        </is>
      </c>
      <c r="P386" s="36" t="inlineStr">
        <is>
          <t>産院の決定</t>
        </is>
      </c>
      <c r="Q386" s="38" t="inlineStr">
        <is>
          <t>未着手</t>
        </is>
      </c>
      <c r="R386" s="28" t="inlineStr"/>
    </row>
    <row r="387" outlineLevel="1">
      <c r="A387" s="42" t="inlineStr">
        <is>
          <t>P9-07-01</t>
        </is>
      </c>
      <c r="B387" s="42" t="inlineStr">
        <is>
          <t>P9</t>
        </is>
      </c>
      <c r="C387" s="43" t="inlineStr">
        <is>
          <t>住まい</t>
        </is>
      </c>
      <c r="D387" s="42" t="n">
        <v>3</v>
      </c>
      <c r="E387" s="44" t="inlineStr">
        <is>
          <t>今の家で新生児と暮らせるか検証する（寝床・ベビーカー置場・動線）</t>
        </is>
      </c>
      <c r="F387" s="45" t="inlineStr">
        <is>
          <t>可否が判断できている</t>
        </is>
      </c>
      <c r="G387" s="45" t="inlineStr"/>
      <c r="H387" s="45" t="inlineStr"/>
      <c r="I387" s="45" t="inlineStr"/>
      <c r="J387" s="42" t="n">
        <v>30</v>
      </c>
      <c r="K387" s="46">
        <f>EDATE('はじめに'!$C$5,J387)</f>
        <v/>
      </c>
      <c r="L387" s="42" t="inlineStr">
        <is>
          <t>推奨</t>
        </is>
      </c>
      <c r="M387" s="42" t="inlineStr">
        <is>
          <t>2人</t>
        </is>
      </c>
      <c r="N387" s="42" t="inlineStr">
        <is>
          <t>1時間</t>
        </is>
      </c>
      <c r="O387" s="45" t="inlineStr"/>
      <c r="P387" s="45" t="inlineStr"/>
      <c r="Q387" s="38" t="inlineStr">
        <is>
          <t>未着手</t>
        </is>
      </c>
      <c r="R387" s="28" t="inlineStr"/>
    </row>
    <row r="388" outlineLevel="1">
      <c r="A388" s="39" t="inlineStr">
        <is>
          <t>P9-07-02</t>
        </is>
      </c>
      <c r="B388" s="39" t="inlineStr">
        <is>
          <t>P9</t>
        </is>
      </c>
      <c r="C388" s="22" t="inlineStr">
        <is>
          <t>住まい</t>
        </is>
      </c>
      <c r="D388" s="39" t="n">
        <v>3</v>
      </c>
      <c r="E388" s="40" t="inlineStr">
        <is>
          <t>引っ越す場合は妊娠7ヶ月までに完了する計画を立てる</t>
        </is>
      </c>
      <c r="F388" s="24" t="inlineStr">
        <is>
          <t>計画ができている</t>
        </is>
      </c>
      <c r="G388" s="24" t="inlineStr"/>
      <c r="H388" s="24" t="inlineStr"/>
      <c r="I388" s="24" t="inlineStr"/>
      <c r="J388" s="39" t="n">
        <v>30</v>
      </c>
      <c r="K388" s="41">
        <f>EDATE('はじめに'!$C$5,J388)</f>
        <v/>
      </c>
      <c r="L388" s="39" t="inlineStr">
        <is>
          <t>推奨</t>
        </is>
      </c>
      <c r="M388" s="39" t="inlineStr">
        <is>
          <t>2人</t>
        </is>
      </c>
      <c r="N388" s="39" t="inlineStr">
        <is>
          <t>2時間</t>
        </is>
      </c>
      <c r="O388" s="24" t="inlineStr"/>
      <c r="P388" s="24" t="inlineStr"/>
      <c r="Q388" s="38" t="inlineStr">
        <is>
          <t>未着手</t>
        </is>
      </c>
      <c r="R388" s="28" t="inlineStr"/>
    </row>
    <row r="389">
      <c r="A389" s="33" t="inlineStr">
        <is>
          <t>P9-08</t>
        </is>
      </c>
      <c r="B389" s="33" t="inlineStr">
        <is>
          <t>P9</t>
        </is>
      </c>
      <c r="C389" s="34" t="inlineStr">
        <is>
          <t>医療</t>
        </is>
      </c>
      <c r="D389" s="33" t="n">
        <v>2</v>
      </c>
      <c r="E389" s="35" t="inlineStr">
        <is>
          <t>里帰り出産をするか決める</t>
        </is>
      </c>
      <c r="F389" s="36" t="inlineStr">
        <is>
          <t>里帰りする／しないが決まり、必要な予約が取れている</t>
        </is>
      </c>
      <c r="G389" s="36" t="inlineStr">
        <is>
          <t>里帰りするか、しないか</t>
        </is>
      </c>
      <c r="H389" s="36" t="inlineStr">
        <is>
          <t>里帰りする／実母に来てもらう／2人だけで乗り切る／産後ケア施設を使う</t>
        </is>
      </c>
      <c r="I389" s="36" t="inlineStr">
        <is>
          <t>里帰りするとパートナーの育児参加が1〜2ヶ月遅れ、その差が1年続くことがある。里帰り先の分娩予約は20週頃までに必要な院が多い</t>
        </is>
      </c>
      <c r="J389" s="33" t="n">
        <v>30</v>
      </c>
      <c r="K389" s="37">
        <f>EDATE('はじめに'!$C$5,J389)</f>
        <v/>
      </c>
      <c r="L389" s="33" t="inlineStr">
        <is>
          <t>推奨</t>
        </is>
      </c>
      <c r="M389" s="33" t="inlineStr">
        <is>
          <t>2人</t>
        </is>
      </c>
      <c r="N389" s="33" t="inlineStr">
        <is>
          <t>2週間</t>
        </is>
      </c>
      <c r="O389" s="36" t="inlineStr"/>
      <c r="P389" s="36" t="inlineStr">
        <is>
          <t>産院の決定</t>
        </is>
      </c>
      <c r="Q389" s="38" t="inlineStr">
        <is>
          <t>未着手</t>
        </is>
      </c>
      <c r="R389" s="28" t="inlineStr"/>
    </row>
    <row r="390" outlineLevel="1">
      <c r="A390" s="39" t="inlineStr">
        <is>
          <t>P9-08-01</t>
        </is>
      </c>
      <c r="B390" s="39" t="inlineStr">
        <is>
          <t>P9</t>
        </is>
      </c>
      <c r="C390" s="22" t="inlineStr">
        <is>
          <t>医療</t>
        </is>
      </c>
      <c r="D390" s="39" t="n">
        <v>3</v>
      </c>
      <c r="E390" s="40" t="inlineStr">
        <is>
          <t>里帰りのメリット・デメリットを両方書き出して比較する</t>
        </is>
      </c>
      <c r="F390" s="24" t="inlineStr">
        <is>
          <t>比較できている</t>
        </is>
      </c>
      <c r="G390" s="24" t="inlineStr"/>
      <c r="H390" s="24" t="inlineStr"/>
      <c r="I390" s="24" t="inlineStr"/>
      <c r="J390" s="39" t="n">
        <v>30</v>
      </c>
      <c r="K390" s="41">
        <f>EDATE('はじめに'!$C$5,J390)</f>
        <v/>
      </c>
      <c r="L390" s="39" t="inlineStr">
        <is>
          <t>推奨</t>
        </is>
      </c>
      <c r="M390" s="39" t="inlineStr">
        <is>
          <t>2人</t>
        </is>
      </c>
      <c r="N390" s="39" t="inlineStr">
        <is>
          <t>1時間</t>
        </is>
      </c>
      <c r="O390" s="24" t="inlineStr"/>
      <c r="P390" s="24" t="inlineStr"/>
      <c r="Q390" s="38" t="inlineStr">
        <is>
          <t>未着手</t>
        </is>
      </c>
      <c r="R390" s="28" t="inlineStr"/>
    </row>
    <row r="391" outlineLevel="1">
      <c r="A391" s="42" t="inlineStr">
        <is>
          <t>P9-08-02</t>
        </is>
      </c>
      <c r="B391" s="42" t="inlineStr">
        <is>
          <t>P9</t>
        </is>
      </c>
      <c r="C391" s="43" t="inlineStr">
        <is>
          <t>医療</t>
        </is>
      </c>
      <c r="D391" s="42" t="n">
        <v>3</v>
      </c>
      <c r="E391" s="44" t="inlineStr">
        <is>
          <t>里帰りする場合は里帰り先の産院を予約する（20週まで）</t>
        </is>
      </c>
      <c r="F391" s="45" t="inlineStr">
        <is>
          <t>予約済み</t>
        </is>
      </c>
      <c r="G391" s="45" t="inlineStr"/>
      <c r="H391" s="45" t="inlineStr"/>
      <c r="I391" s="45" t="inlineStr"/>
      <c r="J391" s="42" t="n">
        <v>30</v>
      </c>
      <c r="K391" s="46">
        <f>EDATE('はじめに'!$C$5,J391)</f>
        <v/>
      </c>
      <c r="L391" s="42" t="inlineStr">
        <is>
          <t>推奨</t>
        </is>
      </c>
      <c r="M391" s="42" t="inlineStr">
        <is>
          <t>妊娠する側</t>
        </is>
      </c>
      <c r="N391" s="42" t="inlineStr">
        <is>
          <t>2時間</t>
        </is>
      </c>
      <c r="O391" s="45" t="inlineStr"/>
      <c r="P391" s="45" t="inlineStr"/>
      <c r="Q391" s="38" t="inlineStr">
        <is>
          <t>未着手</t>
        </is>
      </c>
      <c r="R391" s="28" t="inlineStr"/>
    </row>
    <row r="392" outlineLevel="1">
      <c r="A392" s="39" t="inlineStr">
        <is>
          <t>P9-08-03</t>
        </is>
      </c>
      <c r="B392" s="39" t="inlineStr">
        <is>
          <t>P9</t>
        </is>
      </c>
      <c r="C392" s="22" t="inlineStr">
        <is>
          <t>医療</t>
        </is>
      </c>
      <c r="D392" s="39" t="n">
        <v>3</v>
      </c>
      <c r="E392" s="40" t="inlineStr">
        <is>
          <t>里帰り先での健診費用の償還払いの手続きを確認する</t>
        </is>
      </c>
      <c r="F392" s="24" t="inlineStr">
        <is>
          <t>手続きが分かっている</t>
        </is>
      </c>
      <c r="G392" s="24" t="inlineStr"/>
      <c r="H392" s="24" t="inlineStr"/>
      <c r="I392" s="24" t="inlineStr"/>
      <c r="J392" s="39" t="n">
        <v>30</v>
      </c>
      <c r="K392" s="41">
        <f>EDATE('はじめに'!$C$5,J392)</f>
        <v/>
      </c>
      <c r="L392" s="39" t="inlineStr">
        <is>
          <t>任意</t>
        </is>
      </c>
      <c r="M392" s="39" t="inlineStr">
        <is>
          <t>どちらか</t>
        </is>
      </c>
      <c r="N392" s="39" t="inlineStr">
        <is>
          <t>30分</t>
        </is>
      </c>
      <c r="O392" s="24" t="inlineStr"/>
      <c r="P392" s="24" t="inlineStr"/>
      <c r="Q392" s="38" t="inlineStr">
        <is>
          <t>未着手</t>
        </is>
      </c>
      <c r="R392" s="28" t="inlineStr"/>
    </row>
    <row r="393">
      <c r="A393" s="33" t="inlineStr">
        <is>
          <t>P9-09</t>
        </is>
      </c>
      <c r="B393" s="33" t="inlineStr">
        <is>
          <t>P9</t>
        </is>
      </c>
      <c r="C393" s="34" t="inlineStr">
        <is>
          <t>医療</t>
        </is>
      </c>
      <c r="D393" s="33" t="n">
        <v>2</v>
      </c>
      <c r="E393" s="35" t="inlineStr">
        <is>
          <t>妊婦健診を継続して受ける</t>
        </is>
      </c>
      <c r="F393" s="36" t="inlineStr">
        <is>
          <t>指定の頻度で受診できている</t>
        </is>
      </c>
      <c r="G393" s="36" t="inlineStr"/>
      <c r="H393" s="36" t="inlineStr"/>
      <c r="I393" s="36" t="inlineStr"/>
      <c r="J393" s="33" t="n">
        <v>30</v>
      </c>
      <c r="K393" s="37">
        <f>EDATE('はじめに'!$C$5,J393)</f>
        <v/>
      </c>
      <c r="L393" s="33" t="inlineStr">
        <is>
          <t>推奨</t>
        </is>
      </c>
      <c r="M393" s="33" t="inlineStr">
        <is>
          <t>妊娠する側</t>
        </is>
      </c>
      <c r="N393" s="33" t="inlineStr">
        <is>
          <t>継続</t>
        </is>
      </c>
      <c r="O393" s="36" t="inlineStr">
        <is>
          <t>3〜7万円</t>
        </is>
      </c>
      <c r="P393" s="36" t="inlineStr">
        <is>
          <t>母子手帳の交付</t>
        </is>
      </c>
      <c r="Q393" s="38" t="inlineStr">
        <is>
          <t>未着手</t>
        </is>
      </c>
      <c r="R393" s="28" t="inlineStr"/>
    </row>
    <row r="394" outlineLevel="1">
      <c r="A394" s="39" t="inlineStr">
        <is>
          <t>P9-09-01</t>
        </is>
      </c>
      <c r="B394" s="39" t="inlineStr">
        <is>
          <t>P9</t>
        </is>
      </c>
      <c r="C394" s="22" t="inlineStr">
        <is>
          <t>医療</t>
        </is>
      </c>
      <c r="D394" s="39" t="n">
        <v>3</v>
      </c>
      <c r="E394" s="40" t="inlineStr">
        <is>
          <t>23週まで4週に1回の健診を受ける</t>
        </is>
      </c>
      <c r="F394" s="24" t="inlineStr">
        <is>
          <t>受診できている</t>
        </is>
      </c>
      <c r="G394" s="24" t="inlineStr"/>
      <c r="H394" s="24" t="inlineStr"/>
      <c r="I394" s="24" t="inlineStr"/>
      <c r="J394" s="39" t="n">
        <v>30</v>
      </c>
      <c r="K394" s="41">
        <f>EDATE('はじめに'!$C$5,J394)</f>
        <v/>
      </c>
      <c r="L394" s="39" t="inlineStr">
        <is>
          <t>推奨</t>
        </is>
      </c>
      <c r="M394" s="39" t="inlineStr">
        <is>
          <t>妊娠する側</t>
        </is>
      </c>
      <c r="N394" s="39" t="inlineStr">
        <is>
          <t>継続</t>
        </is>
      </c>
      <c r="O394" s="24" t="inlineStr"/>
      <c r="P394" s="24" t="inlineStr"/>
      <c r="Q394" s="38" t="inlineStr">
        <is>
          <t>未着手</t>
        </is>
      </c>
      <c r="R394" s="28" t="inlineStr"/>
    </row>
    <row r="395" outlineLevel="1">
      <c r="A395" s="42" t="inlineStr">
        <is>
          <t>P9-09-02</t>
        </is>
      </c>
      <c r="B395" s="42" t="inlineStr">
        <is>
          <t>P9</t>
        </is>
      </c>
      <c r="C395" s="43" t="inlineStr">
        <is>
          <t>医療</t>
        </is>
      </c>
      <c r="D395" s="42" t="n">
        <v>3</v>
      </c>
      <c r="E395" s="44" t="inlineStr">
        <is>
          <t>24週から2週に1回に切り替える</t>
        </is>
      </c>
      <c r="F395" s="45" t="inlineStr">
        <is>
          <t>受診できている</t>
        </is>
      </c>
      <c r="G395" s="45" t="inlineStr"/>
      <c r="H395" s="45" t="inlineStr"/>
      <c r="I395" s="45" t="inlineStr"/>
      <c r="J395" s="42" t="n">
        <v>32</v>
      </c>
      <c r="K395" s="46">
        <f>EDATE('はじめに'!$C$5,J395)</f>
        <v/>
      </c>
      <c r="L395" s="42" t="inlineStr">
        <is>
          <t>推奨</t>
        </is>
      </c>
      <c r="M395" s="42" t="inlineStr">
        <is>
          <t>妊娠する側</t>
        </is>
      </c>
      <c r="N395" s="42" t="inlineStr">
        <is>
          <t>継続</t>
        </is>
      </c>
      <c r="O395" s="45" t="inlineStr"/>
      <c r="P395" s="45" t="inlineStr"/>
      <c r="Q395" s="38" t="inlineStr">
        <is>
          <t>未着手</t>
        </is>
      </c>
      <c r="R395" s="28" t="inlineStr"/>
    </row>
    <row r="396" outlineLevel="1">
      <c r="A396" s="39" t="inlineStr">
        <is>
          <t>P9-09-03</t>
        </is>
      </c>
      <c r="B396" s="39" t="inlineStr">
        <is>
          <t>P9</t>
        </is>
      </c>
      <c r="C396" s="22" t="inlineStr">
        <is>
          <t>医療</t>
        </is>
      </c>
      <c r="D396" s="39" t="n">
        <v>3</v>
      </c>
      <c r="E396" s="40" t="inlineStr">
        <is>
          <t>妊娠糖尿病スクリーニング（24〜28週）を受ける</t>
        </is>
      </c>
      <c r="F396" s="24" t="inlineStr">
        <is>
          <t>結果が出ている</t>
        </is>
      </c>
      <c r="G396" s="24" t="inlineStr"/>
      <c r="H396" s="24" t="inlineStr"/>
      <c r="I396" s="24" t="inlineStr"/>
      <c r="J396" s="39" t="n">
        <v>32</v>
      </c>
      <c r="K396" s="41">
        <f>EDATE('はじめに'!$C$5,J396)</f>
        <v/>
      </c>
      <c r="L396" s="39" t="inlineStr">
        <is>
          <t>推奨</t>
        </is>
      </c>
      <c r="M396" s="39" t="inlineStr">
        <is>
          <t>妊娠する側</t>
        </is>
      </c>
      <c r="N396" s="39" t="inlineStr">
        <is>
          <t>半日</t>
        </is>
      </c>
      <c r="O396" s="24" t="inlineStr"/>
      <c r="P396" s="24" t="inlineStr"/>
      <c r="Q396" s="38" t="inlineStr">
        <is>
          <t>未着手</t>
        </is>
      </c>
      <c r="R396" s="28" t="inlineStr"/>
    </row>
    <row r="397" outlineLevel="1">
      <c r="A397" s="42" t="inlineStr">
        <is>
          <t>P9-09-04</t>
        </is>
      </c>
      <c r="B397" s="42" t="inlineStr">
        <is>
          <t>P9</t>
        </is>
      </c>
      <c r="C397" s="43" t="inlineStr">
        <is>
          <t>医療</t>
        </is>
      </c>
      <c r="D397" s="42" t="n">
        <v>3</v>
      </c>
      <c r="E397" s="44" t="inlineStr">
        <is>
          <t>貧血の再検査を受け、必要なら鉄剤を処方してもらう</t>
        </is>
      </c>
      <c r="F397" s="45" t="inlineStr">
        <is>
          <t>対応済み</t>
        </is>
      </c>
      <c r="G397" s="45" t="inlineStr"/>
      <c r="H397" s="45" t="inlineStr"/>
      <c r="I397" s="45" t="inlineStr"/>
      <c r="J397" s="42" t="n">
        <v>32</v>
      </c>
      <c r="K397" s="46">
        <f>EDATE('はじめに'!$C$5,J397)</f>
        <v/>
      </c>
      <c r="L397" s="42" t="inlineStr">
        <is>
          <t>推奨</t>
        </is>
      </c>
      <c r="M397" s="42" t="inlineStr">
        <is>
          <t>妊娠する側</t>
        </is>
      </c>
      <c r="N397" s="42" t="inlineStr">
        <is>
          <t>半日</t>
        </is>
      </c>
      <c r="O397" s="45" t="inlineStr"/>
      <c r="P397" s="45" t="inlineStr"/>
      <c r="Q397" s="38" t="inlineStr">
        <is>
          <t>未着手</t>
        </is>
      </c>
      <c r="R397" s="28" t="inlineStr"/>
    </row>
    <row r="398" outlineLevel="1">
      <c r="A398" s="39" t="inlineStr">
        <is>
          <t>P9-09-05</t>
        </is>
      </c>
      <c r="B398" s="39" t="inlineStr">
        <is>
          <t>P9</t>
        </is>
      </c>
      <c r="C398" s="22" t="inlineStr">
        <is>
          <t>医療</t>
        </is>
      </c>
      <c r="D398" s="39" t="n">
        <v>3</v>
      </c>
      <c r="E398" s="40" t="inlineStr">
        <is>
          <t>妊婦歯科健診を受ける（無料券がある自治体が多い）</t>
        </is>
      </c>
      <c r="F398" s="24" t="inlineStr">
        <is>
          <t>受診済み</t>
        </is>
      </c>
      <c r="G398" s="24" t="inlineStr"/>
      <c r="H398" s="24" t="inlineStr"/>
      <c r="I398" s="24" t="inlineStr"/>
      <c r="J398" s="39" t="n">
        <v>31</v>
      </c>
      <c r="K398" s="41">
        <f>EDATE('はじめに'!$C$5,J398)</f>
        <v/>
      </c>
      <c r="L398" s="39" t="inlineStr">
        <is>
          <t>推奨</t>
        </is>
      </c>
      <c r="M398" s="39" t="inlineStr">
        <is>
          <t>妊娠する側</t>
        </is>
      </c>
      <c r="N398" s="39" t="inlineStr">
        <is>
          <t>1時間</t>
        </is>
      </c>
      <c r="O398" s="24" t="inlineStr"/>
      <c r="P398" s="24" t="inlineStr"/>
      <c r="Q398" s="38" t="inlineStr">
        <is>
          <t>未着手</t>
        </is>
      </c>
      <c r="R398" s="28" t="inlineStr"/>
    </row>
    <row r="399" outlineLevel="1">
      <c r="A399" s="42" t="inlineStr">
        <is>
          <t>P9-09-06</t>
        </is>
      </c>
      <c r="B399" s="42" t="inlineStr">
        <is>
          <t>P9</t>
        </is>
      </c>
      <c r="C399" s="43" t="inlineStr">
        <is>
          <t>医療</t>
        </is>
      </c>
      <c r="D399" s="42" t="n">
        <v>3</v>
      </c>
      <c r="E399" s="44" t="inlineStr">
        <is>
          <t>インフルエンザ予防接種を受ける（シーズン時）</t>
        </is>
      </c>
      <c r="F399" s="45" t="inlineStr">
        <is>
          <t>接種済み</t>
        </is>
      </c>
      <c r="G399" s="45" t="inlineStr"/>
      <c r="H399" s="45" t="inlineStr"/>
      <c r="I399" s="45" t="inlineStr"/>
      <c r="J399" s="42" t="n">
        <v>31</v>
      </c>
      <c r="K399" s="46">
        <f>EDATE('はじめに'!$C$5,J399)</f>
        <v/>
      </c>
      <c r="L399" s="42" t="inlineStr">
        <is>
          <t>推奨</t>
        </is>
      </c>
      <c r="M399" s="42" t="inlineStr">
        <is>
          <t>妊娠する側</t>
        </is>
      </c>
      <c r="N399" s="42" t="inlineStr">
        <is>
          <t>1時間</t>
        </is>
      </c>
      <c r="O399" s="45" t="inlineStr"/>
      <c r="P399" s="45" t="inlineStr"/>
      <c r="Q399" s="38" t="inlineStr">
        <is>
          <t>未着手</t>
        </is>
      </c>
      <c r="R399" s="28" t="inlineStr"/>
    </row>
    <row r="400">
      <c r="A400" s="33" t="inlineStr">
        <is>
          <t>P9-10</t>
        </is>
      </c>
      <c r="B400" s="33" t="inlineStr">
        <is>
          <t>P9</t>
        </is>
      </c>
      <c r="C400" s="34" t="inlineStr">
        <is>
          <t>保活</t>
        </is>
      </c>
      <c r="D400" s="33" t="n">
        <v>2</v>
      </c>
      <c r="E400" s="35" t="inlineStr">
        <is>
          <t>保育園を見学する</t>
        </is>
      </c>
      <c r="F400" s="36" t="inlineStr">
        <is>
          <t>3〜5園の見学が終わり、希望順の素案ができている</t>
        </is>
      </c>
      <c r="G400" s="36" t="inlineStr">
        <is>
          <t>どの園を第一希望にするか</t>
        </is>
      </c>
      <c r="H400" s="36" t="inlineStr">
        <is>
          <t>認可保育園／認定こども園／小規模保育（0〜2歳）／企業主導型／認可外・インターナショナル</t>
        </is>
      </c>
      <c r="I400" s="36" t="inlineStr">
        <is>
          <t>産後は物理的に見学に行けない。妊娠中に行くのが正解。0歳児枠の有無、定員、園庭、給食、延長保育、駐輪場、連絡アプリ、おむつ持ち帰りの有無を見る</t>
        </is>
      </c>
      <c r="J400" s="33" t="n">
        <v>32</v>
      </c>
      <c r="K400" s="37">
        <f>EDATE('はじめに'!$C$5,J400)</f>
        <v/>
      </c>
      <c r="L400" s="33" t="inlineStr">
        <is>
          <t>推奨</t>
        </is>
      </c>
      <c r="M400" s="33" t="inlineStr">
        <is>
          <t>2人</t>
        </is>
      </c>
      <c r="N400" s="33" t="inlineStr">
        <is>
          <t>1ヶ月</t>
        </is>
      </c>
      <c r="O400" s="36" t="inlineStr"/>
      <c r="P400" s="36" t="inlineStr">
        <is>
          <t>引っ越しの判断</t>
        </is>
      </c>
      <c r="Q400" s="38" t="inlineStr">
        <is>
          <t>未着手</t>
        </is>
      </c>
      <c r="R400" s="28" t="inlineStr"/>
    </row>
    <row r="401" outlineLevel="1">
      <c r="A401" s="42" t="inlineStr">
        <is>
          <t>P9-10-01</t>
        </is>
      </c>
      <c r="B401" s="42" t="inlineStr">
        <is>
          <t>P9</t>
        </is>
      </c>
      <c r="C401" s="43" t="inlineStr">
        <is>
          <t>保活</t>
        </is>
      </c>
      <c r="D401" s="42" t="n">
        <v>3</v>
      </c>
      <c r="E401" s="44" t="inlineStr">
        <is>
          <t>自治体の入園案内を入手し、点数表（指数）の仕組みを理解する</t>
        </is>
      </c>
      <c r="F401" s="45" t="inlineStr">
        <is>
          <t>自分たちの点数が計算できる</t>
        </is>
      </c>
      <c r="G401" s="45" t="inlineStr"/>
      <c r="H401" s="45" t="inlineStr"/>
      <c r="I401" s="45" t="inlineStr"/>
      <c r="J401" s="42" t="n">
        <v>32</v>
      </c>
      <c r="K401" s="46">
        <f>EDATE('はじめに'!$C$5,J401)</f>
        <v/>
      </c>
      <c r="L401" s="42" t="inlineStr">
        <is>
          <t>推奨</t>
        </is>
      </c>
      <c r="M401" s="42" t="inlineStr">
        <is>
          <t>2人</t>
        </is>
      </c>
      <c r="N401" s="42" t="inlineStr">
        <is>
          <t>2時間</t>
        </is>
      </c>
      <c r="O401" s="45" t="inlineStr"/>
      <c r="P401" s="45" t="inlineStr"/>
      <c r="Q401" s="38" t="inlineStr">
        <is>
          <t>未着手</t>
        </is>
      </c>
      <c r="R401" s="28" t="inlineStr"/>
    </row>
    <row r="402" outlineLevel="1">
      <c r="A402" s="39" t="inlineStr">
        <is>
          <t>P9-10-02</t>
        </is>
      </c>
      <c r="B402" s="39" t="inlineStr">
        <is>
          <t>P9</t>
        </is>
      </c>
      <c r="C402" s="22" t="inlineStr">
        <is>
          <t>保活</t>
        </is>
      </c>
      <c r="D402" s="39" t="n">
        <v>3</v>
      </c>
      <c r="E402" s="40" t="inlineStr">
        <is>
          <t>通える範囲の園を全部リストアップする（自転車15分圏など）</t>
        </is>
      </c>
      <c r="F402" s="24" t="inlineStr">
        <is>
          <t>リストができている</t>
        </is>
      </c>
      <c r="G402" s="24" t="inlineStr"/>
      <c r="H402" s="24" t="inlineStr"/>
      <c r="I402" s="24" t="inlineStr"/>
      <c r="J402" s="39" t="n">
        <v>32</v>
      </c>
      <c r="K402" s="41">
        <f>EDATE('はじめに'!$C$5,J402)</f>
        <v/>
      </c>
      <c r="L402" s="39" t="inlineStr">
        <is>
          <t>推奨</t>
        </is>
      </c>
      <c r="M402" s="39" t="inlineStr">
        <is>
          <t>2人</t>
        </is>
      </c>
      <c r="N402" s="39" t="inlineStr">
        <is>
          <t>2時間</t>
        </is>
      </c>
      <c r="O402" s="24" t="inlineStr"/>
      <c r="P402" s="24" t="inlineStr"/>
      <c r="Q402" s="38" t="inlineStr">
        <is>
          <t>未着手</t>
        </is>
      </c>
      <c r="R402" s="28" t="inlineStr"/>
    </row>
    <row r="403" outlineLevel="1">
      <c r="A403" s="42" t="inlineStr">
        <is>
          <t>P9-10-03</t>
        </is>
      </c>
      <c r="B403" s="42" t="inlineStr">
        <is>
          <t>P9</t>
        </is>
      </c>
      <c r="C403" s="43" t="inlineStr">
        <is>
          <t>保活</t>
        </is>
      </c>
      <c r="D403" s="42" t="n">
        <v>3</v>
      </c>
      <c r="E403" s="44" t="inlineStr">
        <is>
          <t>見学のチェックリストを作る（0歳枠の数・おむつ持ち帰り・延長・行事の平日開催・駐輪場）</t>
        </is>
      </c>
      <c r="F403" s="45" t="inlineStr">
        <is>
          <t>チェックリストがある</t>
        </is>
      </c>
      <c r="G403" s="45" t="inlineStr"/>
      <c r="H403" s="45" t="inlineStr"/>
      <c r="I403" s="45" t="inlineStr"/>
      <c r="J403" s="42" t="n">
        <v>32</v>
      </c>
      <c r="K403" s="46">
        <f>EDATE('はじめに'!$C$5,J403)</f>
        <v/>
      </c>
      <c r="L403" s="42" t="inlineStr">
        <is>
          <t>推奨</t>
        </is>
      </c>
      <c r="M403" s="42" t="inlineStr">
        <is>
          <t>どちらか</t>
        </is>
      </c>
      <c r="N403" s="42" t="inlineStr">
        <is>
          <t>1時間</t>
        </is>
      </c>
      <c r="O403" s="45" t="inlineStr"/>
      <c r="P403" s="45" t="inlineStr"/>
      <c r="Q403" s="38" t="inlineStr">
        <is>
          <t>未着手</t>
        </is>
      </c>
      <c r="R403" s="28" t="inlineStr"/>
    </row>
    <row r="404" outlineLevel="1">
      <c r="A404" s="39" t="inlineStr">
        <is>
          <t>P9-10-04</t>
        </is>
      </c>
      <c r="B404" s="39" t="inlineStr">
        <is>
          <t>P9</t>
        </is>
      </c>
      <c r="C404" s="22" t="inlineStr">
        <is>
          <t>保活</t>
        </is>
      </c>
      <c r="D404" s="39" t="n">
        <v>3</v>
      </c>
      <c r="E404" s="40" t="inlineStr">
        <is>
          <t>3〜5園を見学する（2人で行く）</t>
        </is>
      </c>
      <c r="F404" s="24" t="inlineStr">
        <is>
          <t>見学完了</t>
        </is>
      </c>
      <c r="G404" s="24" t="inlineStr"/>
      <c r="H404" s="24" t="inlineStr"/>
      <c r="I404" s="24" t="inlineStr"/>
      <c r="J404" s="39" t="n">
        <v>33</v>
      </c>
      <c r="K404" s="41">
        <f>EDATE('はじめに'!$C$5,J404)</f>
        <v/>
      </c>
      <c r="L404" s="39" t="inlineStr">
        <is>
          <t>推奨</t>
        </is>
      </c>
      <c r="M404" s="39" t="inlineStr">
        <is>
          <t>2人</t>
        </is>
      </c>
      <c r="N404" s="39" t="inlineStr">
        <is>
          <t>3日</t>
        </is>
      </c>
      <c r="O404" s="24" t="inlineStr"/>
      <c r="P404" s="24" t="inlineStr"/>
      <c r="Q404" s="38" t="inlineStr">
        <is>
          <t>未着手</t>
        </is>
      </c>
      <c r="R404" s="28" t="inlineStr"/>
    </row>
    <row r="405" outlineLevel="1">
      <c r="A405" s="42" t="inlineStr">
        <is>
          <t>P9-10-05</t>
        </is>
      </c>
      <c r="B405" s="42" t="inlineStr">
        <is>
          <t>P9</t>
        </is>
      </c>
      <c r="C405" s="43" t="inlineStr">
        <is>
          <t>保活</t>
        </is>
      </c>
      <c r="D405" s="42" t="n">
        <v>3</v>
      </c>
      <c r="E405" s="44" t="inlineStr">
        <is>
          <t>見学結果を比較表にまとめ、希望順の素案を作る</t>
        </is>
      </c>
      <c r="F405" s="45" t="inlineStr">
        <is>
          <t>素案ができている</t>
        </is>
      </c>
      <c r="G405" s="45" t="inlineStr"/>
      <c r="H405" s="45" t="inlineStr"/>
      <c r="I405" s="45" t="inlineStr"/>
      <c r="J405" s="42" t="n">
        <v>33</v>
      </c>
      <c r="K405" s="46">
        <f>EDATE('はじめに'!$C$5,J405)</f>
        <v/>
      </c>
      <c r="L405" s="42" t="inlineStr">
        <is>
          <t>推奨</t>
        </is>
      </c>
      <c r="M405" s="42" t="inlineStr">
        <is>
          <t>2人</t>
        </is>
      </c>
      <c r="N405" s="42" t="inlineStr">
        <is>
          <t>1時間</t>
        </is>
      </c>
      <c r="O405" s="45" t="inlineStr"/>
      <c r="P405" s="45" t="inlineStr"/>
      <c r="Q405" s="38" t="inlineStr">
        <is>
          <t>未着手</t>
        </is>
      </c>
      <c r="R405" s="28" t="inlineStr"/>
    </row>
    <row r="406">
      <c r="A406" s="33" t="inlineStr">
        <is>
          <t>P9-11</t>
        </is>
      </c>
      <c r="B406" s="33" t="inlineStr">
        <is>
          <t>P9</t>
        </is>
      </c>
      <c r="C406" s="34" t="inlineStr">
        <is>
          <t>記録</t>
        </is>
      </c>
      <c r="D406" s="33" t="n">
        <v>2</v>
      </c>
      <c r="E406" s="35" t="inlineStr">
        <is>
          <t>妊娠中の記録とイベント</t>
        </is>
      </c>
      <c r="F406" s="36" t="inlineStr">
        <is>
          <t>記録が残っている</t>
        </is>
      </c>
      <c r="G406" s="36" t="inlineStr"/>
      <c r="H406" s="36" t="inlineStr"/>
      <c r="I406" s="36" t="inlineStr"/>
      <c r="J406" s="33" t="n">
        <v>31</v>
      </c>
      <c r="K406" s="37">
        <f>EDATE('はじめに'!$C$5,J406)</f>
        <v/>
      </c>
      <c r="L406" s="33" t="inlineStr">
        <is>
          <t>任意</t>
        </is>
      </c>
      <c r="M406" s="33" t="inlineStr">
        <is>
          <t>2人</t>
        </is>
      </c>
      <c r="N406" s="33" t="inlineStr">
        <is>
          <t>継続</t>
        </is>
      </c>
      <c r="O406" s="36" t="inlineStr"/>
      <c r="P406" s="36" t="inlineStr"/>
      <c r="Q406" s="38" t="inlineStr">
        <is>
          <t>未着手</t>
        </is>
      </c>
      <c r="R406" s="28" t="inlineStr"/>
    </row>
    <row r="407" outlineLevel="1">
      <c r="A407" s="42" t="inlineStr">
        <is>
          <t>P9-11-01</t>
        </is>
      </c>
      <c r="B407" s="42" t="inlineStr">
        <is>
          <t>P9</t>
        </is>
      </c>
      <c r="C407" s="43" t="inlineStr">
        <is>
          <t>記録</t>
        </is>
      </c>
      <c r="D407" s="42" t="n">
        <v>3</v>
      </c>
      <c r="E407" s="44" t="inlineStr">
        <is>
          <t>エコー写真をスキャンして保存する（感熱紙は数年で消える）</t>
        </is>
      </c>
      <c r="F407" s="45" t="inlineStr">
        <is>
          <t>データ化されている</t>
        </is>
      </c>
      <c r="G407" s="45" t="inlineStr"/>
      <c r="H407" s="45" t="inlineStr"/>
      <c r="I407" s="45" t="inlineStr"/>
      <c r="J407" s="42" t="n">
        <v>31</v>
      </c>
      <c r="K407" s="46">
        <f>EDATE('はじめに'!$C$5,J407)</f>
        <v/>
      </c>
      <c r="L407" s="42" t="inlineStr">
        <is>
          <t>任意</t>
        </is>
      </c>
      <c r="M407" s="42" t="inlineStr">
        <is>
          <t>どちらか</t>
        </is>
      </c>
      <c r="N407" s="42" t="inlineStr">
        <is>
          <t>30分</t>
        </is>
      </c>
      <c r="O407" s="45" t="inlineStr"/>
      <c r="P407" s="45" t="inlineStr"/>
      <c r="Q407" s="38" t="inlineStr">
        <is>
          <t>未着手</t>
        </is>
      </c>
      <c r="R407" s="28" t="inlineStr"/>
    </row>
    <row r="408" outlineLevel="1">
      <c r="A408" s="39" t="inlineStr">
        <is>
          <t>P9-11-02</t>
        </is>
      </c>
      <c r="B408" s="39" t="inlineStr">
        <is>
          <t>P9</t>
        </is>
      </c>
      <c r="C408" s="22" t="inlineStr">
        <is>
          <t>記録</t>
        </is>
      </c>
      <c r="D408" s="39" t="n">
        <v>3</v>
      </c>
      <c r="E408" s="40" t="inlineStr">
        <is>
          <t>戌の日の安産祈願（16週以降の戌の日）</t>
        </is>
      </c>
      <c r="F408" s="24" t="inlineStr">
        <is>
          <t>実施済み</t>
        </is>
      </c>
      <c r="G408" s="24" t="inlineStr"/>
      <c r="H408" s="24" t="inlineStr"/>
      <c r="I408" s="24" t="inlineStr"/>
      <c r="J408" s="39" t="n">
        <v>31</v>
      </c>
      <c r="K408" s="41">
        <f>EDATE('はじめに'!$C$5,J408)</f>
        <v/>
      </c>
      <c r="L408" s="39" t="inlineStr">
        <is>
          <t>任意</t>
        </is>
      </c>
      <c r="M408" s="39" t="inlineStr">
        <is>
          <t>2人</t>
        </is>
      </c>
      <c r="N408" s="39" t="inlineStr">
        <is>
          <t>半日</t>
        </is>
      </c>
      <c r="O408" s="24" t="inlineStr">
        <is>
          <t>1〜3万円</t>
        </is>
      </c>
      <c r="P408" s="24" t="inlineStr"/>
      <c r="Q408" s="38" t="inlineStr">
        <is>
          <t>未着手</t>
        </is>
      </c>
      <c r="R408" s="28" t="inlineStr"/>
    </row>
    <row r="409" outlineLevel="1">
      <c r="A409" s="42" t="inlineStr">
        <is>
          <t>P9-11-03</t>
        </is>
      </c>
      <c r="B409" s="42" t="inlineStr">
        <is>
          <t>P9</t>
        </is>
      </c>
      <c r="C409" s="43" t="inlineStr">
        <is>
          <t>記録</t>
        </is>
      </c>
      <c r="D409" s="42" t="n">
        <v>3</v>
      </c>
      <c r="E409" s="44" t="inlineStr">
        <is>
          <t>マタニティフォトを撮る（26〜32週）</t>
        </is>
      </c>
      <c r="F409" s="45" t="inlineStr">
        <is>
          <t>撮影済み</t>
        </is>
      </c>
      <c r="G409" s="45" t="inlineStr"/>
      <c r="H409" s="45" t="inlineStr"/>
      <c r="I409" s="45" t="inlineStr"/>
      <c r="J409" s="42" t="n">
        <v>33</v>
      </c>
      <c r="K409" s="46">
        <f>EDATE('はじめに'!$C$5,J409)</f>
        <v/>
      </c>
      <c r="L409" s="42" t="inlineStr">
        <is>
          <t>任意</t>
        </is>
      </c>
      <c r="M409" s="42" t="inlineStr">
        <is>
          <t>2人</t>
        </is>
      </c>
      <c r="N409" s="42" t="inlineStr">
        <is>
          <t>半日</t>
        </is>
      </c>
      <c r="O409" s="45" t="inlineStr">
        <is>
          <t>2〜5万円</t>
        </is>
      </c>
      <c r="P409" s="45" t="inlineStr"/>
      <c r="Q409" s="38" t="inlineStr">
        <is>
          <t>未着手</t>
        </is>
      </c>
      <c r="R409" s="28" t="inlineStr"/>
    </row>
    <row r="410">
      <c r="A410" s="33" t="inlineStr">
        <is>
          <t>P10-01</t>
        </is>
      </c>
      <c r="B410" s="33" t="inlineStr">
        <is>
          <t>P10</t>
        </is>
      </c>
      <c r="C410" s="34" t="inlineStr">
        <is>
          <t>医療</t>
        </is>
      </c>
      <c r="D410" s="33" t="n">
        <v>2</v>
      </c>
      <c r="E410" s="35" t="inlineStr">
        <is>
          <t>RSウイルス母子免疫ワクチン（アブリスボ）を接種する</t>
        </is>
      </c>
      <c r="F410" s="36" t="inlineStr">
        <is>
          <t>接種が完了している</t>
        </is>
      </c>
      <c r="G410" s="36" t="inlineStr">
        <is>
          <t>接種するか</t>
        </is>
      </c>
      <c r="H410" s="36" t="inlineStr">
        <is>
          <t>妊婦への母子免疫ワクチン／出生後の乳児にニルセビマブ（ベイフォータス）</t>
        </is>
      </c>
      <c r="I410" s="36" t="inlineStr">
        <is>
          <t>2026年4月から定期接種（原則無料）。接種期間は妊娠28週0日〜36週6日と短いので、逃すと窓口が閉じる。産科・内科で接種できる</t>
        </is>
      </c>
      <c r="J410" s="33" t="n">
        <v>34</v>
      </c>
      <c r="K410" s="37">
        <f>EDATE('はじめに'!$C$5,J410)</f>
        <v/>
      </c>
      <c r="L410" s="33" t="inlineStr">
        <is>
          <t>推奨</t>
        </is>
      </c>
      <c r="M410" s="33" t="inlineStr">
        <is>
          <t>妊娠する側</t>
        </is>
      </c>
      <c r="N410" s="33" t="inlineStr">
        <is>
          <t>1日</t>
        </is>
      </c>
      <c r="O410" s="36" t="inlineStr">
        <is>
          <t>0円（定期接種）</t>
        </is>
      </c>
      <c r="P410" s="36" t="inlineStr">
        <is>
          <t>妊婦健診</t>
        </is>
      </c>
      <c r="Q410" s="38" t="inlineStr">
        <is>
          <t>未着手</t>
        </is>
      </c>
      <c r="R410" s="28" t="inlineStr"/>
    </row>
    <row r="411">
      <c r="A411" s="33" t="inlineStr">
        <is>
          <t>P10-02</t>
        </is>
      </c>
      <c r="B411" s="33" t="inlineStr">
        <is>
          <t>P10</t>
        </is>
      </c>
      <c r="C411" s="34" t="inlineStr">
        <is>
          <t>医療</t>
        </is>
      </c>
      <c r="D411" s="33" t="n">
        <v>2</v>
      </c>
      <c r="E411" s="35" t="inlineStr">
        <is>
          <t>後期の健診と検査を受ける</t>
        </is>
      </c>
      <c r="F411" s="36" t="inlineStr">
        <is>
          <t>GBS検査まで終わり、分娩に向けた準備が整っている</t>
        </is>
      </c>
      <c r="G411" s="36" t="inlineStr"/>
      <c r="H411" s="36" t="inlineStr"/>
      <c r="I411" s="36" t="inlineStr"/>
      <c r="J411" s="33" t="n">
        <v>34</v>
      </c>
      <c r="K411" s="37">
        <f>EDATE('はじめに'!$C$5,J411)</f>
        <v/>
      </c>
      <c r="L411" s="33" t="inlineStr">
        <is>
          <t>推奨</t>
        </is>
      </c>
      <c r="M411" s="33" t="inlineStr">
        <is>
          <t>妊娠する側</t>
        </is>
      </c>
      <c r="N411" s="33" t="inlineStr">
        <is>
          <t>継続</t>
        </is>
      </c>
      <c r="O411" s="36" t="inlineStr"/>
      <c r="P411" s="36" t="inlineStr">
        <is>
          <t>妊婦健診</t>
        </is>
      </c>
      <c r="Q411" s="38" t="inlineStr">
        <is>
          <t>未着手</t>
        </is>
      </c>
      <c r="R411" s="28" t="inlineStr"/>
    </row>
    <row r="412" outlineLevel="1">
      <c r="A412" s="39" t="inlineStr">
        <is>
          <t>P10-02-01</t>
        </is>
      </c>
      <c r="B412" s="39" t="inlineStr">
        <is>
          <t>P10</t>
        </is>
      </c>
      <c r="C412" s="22" t="inlineStr">
        <is>
          <t>医療</t>
        </is>
      </c>
      <c r="D412" s="39" t="n">
        <v>3</v>
      </c>
      <c r="E412" s="40" t="inlineStr">
        <is>
          <t>逆子・前置胎盤の有無を確認する（帝王切開の可能性を把握）</t>
        </is>
      </c>
      <c r="F412" s="24" t="inlineStr">
        <is>
          <t>分娩方法の見通しが立っている</t>
        </is>
      </c>
      <c r="G412" s="24" t="inlineStr"/>
      <c r="H412" s="24" t="inlineStr"/>
      <c r="I412" s="24" t="inlineStr"/>
      <c r="J412" s="39" t="n">
        <v>34</v>
      </c>
      <c r="K412" s="41">
        <f>EDATE('はじめに'!$C$5,J412)</f>
        <v/>
      </c>
      <c r="L412" s="39" t="inlineStr">
        <is>
          <t>推奨</t>
        </is>
      </c>
      <c r="M412" s="39" t="inlineStr">
        <is>
          <t>妊娠する側</t>
        </is>
      </c>
      <c r="N412" s="39" t="inlineStr">
        <is>
          <t>-</t>
        </is>
      </c>
      <c r="O412" s="24" t="inlineStr"/>
      <c r="P412" s="24" t="inlineStr"/>
      <c r="Q412" s="38" t="inlineStr">
        <is>
          <t>未着手</t>
        </is>
      </c>
      <c r="R412" s="28" t="inlineStr"/>
    </row>
    <row r="413" outlineLevel="1">
      <c r="A413" s="42" t="inlineStr">
        <is>
          <t>P10-02-02</t>
        </is>
      </c>
      <c r="B413" s="42" t="inlineStr">
        <is>
          <t>P10</t>
        </is>
      </c>
      <c r="C413" s="43" t="inlineStr">
        <is>
          <t>医療</t>
        </is>
      </c>
      <c r="D413" s="42" t="n">
        <v>3</v>
      </c>
      <c r="E413" s="44" t="inlineStr">
        <is>
          <t>GBS（B群溶血性連鎖球菌）検査を受ける（33〜37週）</t>
        </is>
      </c>
      <c r="F413" s="45" t="inlineStr">
        <is>
          <t>結果が出ている</t>
        </is>
      </c>
      <c r="G413" s="45" t="inlineStr"/>
      <c r="H413" s="45" t="inlineStr"/>
      <c r="I413" s="45" t="inlineStr"/>
      <c r="J413" s="42" t="n">
        <v>35</v>
      </c>
      <c r="K413" s="46">
        <f>EDATE('はじめに'!$C$5,J413)</f>
        <v/>
      </c>
      <c r="L413" s="42" t="inlineStr">
        <is>
          <t>推奨</t>
        </is>
      </c>
      <c r="M413" s="42" t="inlineStr">
        <is>
          <t>妊娠する側</t>
        </is>
      </c>
      <c r="N413" s="42" t="inlineStr">
        <is>
          <t>-</t>
        </is>
      </c>
      <c r="O413" s="45" t="inlineStr"/>
      <c r="P413" s="45" t="inlineStr"/>
      <c r="Q413" s="38" t="inlineStr">
        <is>
          <t>未着手</t>
        </is>
      </c>
      <c r="R413" s="28" t="inlineStr"/>
    </row>
    <row r="414" outlineLevel="1">
      <c r="A414" s="39" t="inlineStr">
        <is>
          <t>P10-02-03</t>
        </is>
      </c>
      <c r="B414" s="39" t="inlineStr">
        <is>
          <t>P10</t>
        </is>
      </c>
      <c r="C414" s="22" t="inlineStr">
        <is>
          <t>医療</t>
        </is>
      </c>
      <c r="D414" s="39" t="n">
        <v>3</v>
      </c>
      <c r="E414" s="40" t="inlineStr">
        <is>
          <t>36週から毎週の健診・NSTを受ける</t>
        </is>
      </c>
      <c r="F414" s="24" t="inlineStr">
        <is>
          <t>受診できている</t>
        </is>
      </c>
      <c r="G414" s="24" t="inlineStr"/>
      <c r="H414" s="24" t="inlineStr"/>
      <c r="I414" s="24" t="inlineStr"/>
      <c r="J414" s="39" t="n">
        <v>36</v>
      </c>
      <c r="K414" s="41">
        <f>EDATE('はじめに'!$C$5,J414)</f>
        <v/>
      </c>
      <c r="L414" s="39" t="inlineStr">
        <is>
          <t>推奨</t>
        </is>
      </c>
      <c r="M414" s="39" t="inlineStr">
        <is>
          <t>妊娠する側</t>
        </is>
      </c>
      <c r="N414" s="39" t="inlineStr">
        <is>
          <t>継続</t>
        </is>
      </c>
      <c r="O414" s="24" t="inlineStr"/>
      <c r="P414" s="24" t="inlineStr"/>
      <c r="Q414" s="38" t="inlineStr">
        <is>
          <t>未着手</t>
        </is>
      </c>
      <c r="R414" s="28" t="inlineStr"/>
    </row>
    <row r="415" outlineLevel="1">
      <c r="A415" s="42" t="inlineStr">
        <is>
          <t>P10-02-04</t>
        </is>
      </c>
      <c r="B415" s="42" t="inlineStr">
        <is>
          <t>P10</t>
        </is>
      </c>
      <c r="C415" s="43" t="inlineStr">
        <is>
          <t>医療</t>
        </is>
      </c>
      <c r="D415" s="42" t="n">
        <v>3</v>
      </c>
      <c r="E415" s="44" t="inlineStr">
        <is>
          <t>バースプラン（立会い・カンガルーケア・母乳方針）を提出する</t>
        </is>
      </c>
      <c r="F415" s="45" t="inlineStr">
        <is>
          <t>提出済み</t>
        </is>
      </c>
      <c r="G415" s="45" t="inlineStr"/>
      <c r="H415" s="45" t="inlineStr"/>
      <c r="I415" s="45" t="inlineStr"/>
      <c r="J415" s="42" t="n">
        <v>35</v>
      </c>
      <c r="K415" s="46">
        <f>EDATE('はじめに'!$C$5,J415)</f>
        <v/>
      </c>
      <c r="L415" s="42" t="inlineStr">
        <is>
          <t>任意</t>
        </is>
      </c>
      <c r="M415" s="42" t="inlineStr">
        <is>
          <t>2人</t>
        </is>
      </c>
      <c r="N415" s="42" t="inlineStr">
        <is>
          <t>1時間</t>
        </is>
      </c>
      <c r="O415" s="45" t="inlineStr"/>
      <c r="P415" s="45" t="inlineStr"/>
      <c r="Q415" s="38" t="inlineStr">
        <is>
          <t>未着手</t>
        </is>
      </c>
      <c r="R415" s="28" t="inlineStr"/>
    </row>
    <row r="416" outlineLevel="1">
      <c r="A416" s="39" t="inlineStr">
        <is>
          <t>P10-02-05</t>
        </is>
      </c>
      <c r="B416" s="39" t="inlineStr">
        <is>
          <t>P10</t>
        </is>
      </c>
      <c r="C416" s="22" t="inlineStr">
        <is>
          <t>医療</t>
        </is>
      </c>
      <c r="D416" s="39" t="n">
        <v>3</v>
      </c>
      <c r="E416" s="40" t="inlineStr">
        <is>
          <t>帝王切開の可能性がある場合、限度額適用認定証を準備する（マイナ保険証があれば不要）</t>
        </is>
      </c>
      <c r="F416" s="24" t="inlineStr">
        <is>
          <t>準備できている</t>
        </is>
      </c>
      <c r="G416" s="24" t="inlineStr"/>
      <c r="H416" s="24" t="inlineStr"/>
      <c r="I416" s="24" t="inlineStr"/>
      <c r="J416" s="39" t="n">
        <v>35</v>
      </c>
      <c r="K416" s="41">
        <f>EDATE('はじめに'!$C$5,J416)</f>
        <v/>
      </c>
      <c r="L416" s="39" t="inlineStr">
        <is>
          <t>任意</t>
        </is>
      </c>
      <c r="M416" s="39" t="inlineStr">
        <is>
          <t>妊娠する側</t>
        </is>
      </c>
      <c r="N416" s="39" t="inlineStr">
        <is>
          <t>1時間</t>
        </is>
      </c>
      <c r="O416" s="24" t="inlineStr"/>
      <c r="P416" s="24" t="inlineStr"/>
      <c r="Q416" s="38" t="inlineStr">
        <is>
          <t>未着手</t>
        </is>
      </c>
      <c r="R416" s="28" t="inlineStr"/>
    </row>
    <row r="417">
      <c r="A417" s="33" t="inlineStr">
        <is>
          <t>P10-03</t>
        </is>
      </c>
      <c r="B417" s="33" t="inlineStr">
        <is>
          <t>P10</t>
        </is>
      </c>
      <c r="C417" s="34" t="inlineStr">
        <is>
          <t>用品</t>
        </is>
      </c>
      <c r="D417" s="33" t="n">
        <v>2</v>
      </c>
      <c r="E417" s="35" t="inlineStr">
        <is>
          <t>ベビーカーを決める</t>
        </is>
      </c>
      <c r="F417" s="36" t="inlineStr">
        <is>
          <t>購入または予約が完了している</t>
        </is>
      </c>
      <c r="G417" s="36" t="inlineStr">
        <is>
          <t>A型を買うか、いつ買うか、B型に買い替えるか</t>
        </is>
      </c>
      <c r="H417" s="36" t="inlineStr">
        <is>
          <t>A型（1ヶ月〜）：Aprica オプティア／Combi スゴカルα／Cybex Melio・Libelle／Joie／Airbuggy／Bugaboo／Babyzen YOYO／Stokke　B型（7ヶ月〜）：Combi／Aprica／Maclaren／Babyzen</t>
        </is>
      </c>
      <c r="I417" s="36" t="inlineStr">
        <is>
          <t>判断軸：自宅の玄関幅・エレベーター・段差（実測する）／車のトランクに入るか／電車とバスをどれだけ使うか／重量（軽量4〜5kg vs 走行性重視6kg超）／両対面式が要るか／自立するか／片手で畳めるか。都心＋電車中心ならコンパクト重視、車中心なら走行性重視</t>
        </is>
      </c>
      <c r="J417" s="33" t="n">
        <v>34</v>
      </c>
      <c r="K417" s="37">
        <f>EDATE('はじめに'!$C$5,J417)</f>
        <v/>
      </c>
      <c r="L417" s="33" t="inlineStr">
        <is>
          <t>推奨</t>
        </is>
      </c>
      <c r="M417" s="33" t="inlineStr">
        <is>
          <t>2人</t>
        </is>
      </c>
      <c r="N417" s="33" t="inlineStr">
        <is>
          <t>2週間</t>
        </is>
      </c>
      <c r="O417" s="36" t="inlineStr">
        <is>
          <t>3〜10万円</t>
        </is>
      </c>
      <c r="P417" s="36" t="inlineStr"/>
      <c r="Q417" s="38" t="inlineStr">
        <is>
          <t>未着手</t>
        </is>
      </c>
      <c r="R417" s="28" t="inlineStr"/>
    </row>
    <row r="418" outlineLevel="1">
      <c r="A418" s="39" t="inlineStr">
        <is>
          <t>P10-03-01</t>
        </is>
      </c>
      <c r="B418" s="39" t="inlineStr">
        <is>
          <t>P10</t>
        </is>
      </c>
      <c r="C418" s="22" t="inlineStr">
        <is>
          <t>用品</t>
        </is>
      </c>
      <c r="D418" s="39" t="n">
        <v>3</v>
      </c>
      <c r="E418" s="40" t="inlineStr">
        <is>
          <t>自宅の玄関幅・エレベーター内寸・車のトランクを実測する</t>
        </is>
      </c>
      <c r="F418" s="24" t="inlineStr">
        <is>
          <t>数字が手元にある</t>
        </is>
      </c>
      <c r="G418" s="24" t="inlineStr"/>
      <c r="H418" s="24" t="inlineStr"/>
      <c r="I418" s="24" t="inlineStr"/>
      <c r="J418" s="39" t="n">
        <v>34</v>
      </c>
      <c r="K418" s="41">
        <f>EDATE('はじめに'!$C$5,J418)</f>
        <v/>
      </c>
      <c r="L418" s="39" t="inlineStr">
        <is>
          <t>推奨</t>
        </is>
      </c>
      <c r="M418" s="39" t="inlineStr">
        <is>
          <t>2人</t>
        </is>
      </c>
      <c r="N418" s="39" t="inlineStr">
        <is>
          <t>30分</t>
        </is>
      </c>
      <c r="O418" s="24" t="inlineStr"/>
      <c r="P418" s="24" t="inlineStr"/>
      <c r="Q418" s="38" t="inlineStr">
        <is>
          <t>未着手</t>
        </is>
      </c>
      <c r="R418" s="28" t="inlineStr"/>
    </row>
    <row r="419" outlineLevel="1">
      <c r="A419" s="42" t="inlineStr">
        <is>
          <t>P10-03-02</t>
        </is>
      </c>
      <c r="B419" s="42" t="inlineStr">
        <is>
          <t>P10</t>
        </is>
      </c>
      <c r="C419" s="43" t="inlineStr">
        <is>
          <t>用品</t>
        </is>
      </c>
      <c r="D419" s="42" t="n">
        <v>3</v>
      </c>
      <c r="E419" s="44" t="inlineStr">
        <is>
          <t>普段の移動手段（電車・車・自転車）の比率を書き出す</t>
        </is>
      </c>
      <c r="F419" s="45" t="inlineStr">
        <is>
          <t>使い方が明確になっている</t>
        </is>
      </c>
      <c r="G419" s="45" t="inlineStr"/>
      <c r="H419" s="45" t="inlineStr"/>
      <c r="I419" s="45" t="inlineStr"/>
      <c r="J419" s="42" t="n">
        <v>34</v>
      </c>
      <c r="K419" s="46">
        <f>EDATE('はじめに'!$C$5,J419)</f>
        <v/>
      </c>
      <c r="L419" s="42" t="inlineStr">
        <is>
          <t>推奨</t>
        </is>
      </c>
      <c r="M419" s="42" t="inlineStr">
        <is>
          <t>2人</t>
        </is>
      </c>
      <c r="N419" s="42" t="inlineStr">
        <is>
          <t>15分</t>
        </is>
      </c>
      <c r="O419" s="45" t="inlineStr"/>
      <c r="P419" s="45" t="inlineStr"/>
      <c r="Q419" s="38" t="inlineStr">
        <is>
          <t>未着手</t>
        </is>
      </c>
      <c r="R419" s="28" t="inlineStr"/>
    </row>
    <row r="420" outlineLevel="1">
      <c r="A420" s="39" t="inlineStr">
        <is>
          <t>P10-03-03</t>
        </is>
      </c>
      <c r="B420" s="39" t="inlineStr">
        <is>
          <t>P10</t>
        </is>
      </c>
      <c r="C420" s="22" t="inlineStr">
        <is>
          <t>用品</t>
        </is>
      </c>
      <c r="D420" s="39" t="n">
        <v>3</v>
      </c>
      <c r="E420" s="40" t="inlineStr">
        <is>
          <t>店舗で3機種以上を押して比較する（段差の乗り上げと片手操作）</t>
        </is>
      </c>
      <c r="F420" s="24" t="inlineStr">
        <is>
          <t>候補が決まっている</t>
        </is>
      </c>
      <c r="G420" s="24" t="inlineStr"/>
      <c r="H420" s="24" t="inlineStr"/>
      <c r="I420" s="24" t="inlineStr"/>
      <c r="J420" s="39" t="n">
        <v>34</v>
      </c>
      <c r="K420" s="41">
        <f>EDATE('はじめに'!$C$5,J420)</f>
        <v/>
      </c>
      <c r="L420" s="39" t="inlineStr">
        <is>
          <t>推奨</t>
        </is>
      </c>
      <c r="M420" s="39" t="inlineStr">
        <is>
          <t>2人</t>
        </is>
      </c>
      <c r="N420" s="39" t="inlineStr">
        <is>
          <t>半日</t>
        </is>
      </c>
      <c r="O420" s="24" t="inlineStr"/>
      <c r="P420" s="24" t="inlineStr"/>
      <c r="Q420" s="38" t="inlineStr">
        <is>
          <t>未着手</t>
        </is>
      </c>
      <c r="R420" s="28" t="inlineStr"/>
    </row>
    <row r="421" outlineLevel="1">
      <c r="A421" s="42" t="inlineStr">
        <is>
          <t>P10-03-04</t>
        </is>
      </c>
      <c r="B421" s="42" t="inlineStr">
        <is>
          <t>P10</t>
        </is>
      </c>
      <c r="C421" s="43" t="inlineStr">
        <is>
          <t>用品</t>
        </is>
      </c>
      <c r="D421" s="42" t="n">
        <v>3</v>
      </c>
      <c r="E421" s="44" t="inlineStr">
        <is>
          <t>購入または出産後まで待つかを決める</t>
        </is>
      </c>
      <c r="F421" s="45" t="inlineStr">
        <is>
          <t>決定している</t>
        </is>
      </c>
      <c r="G421" s="45" t="inlineStr"/>
      <c r="H421" s="45" t="inlineStr"/>
      <c r="I421" s="45" t="inlineStr"/>
      <c r="J421" s="42" t="n">
        <v>35</v>
      </c>
      <c r="K421" s="46">
        <f>EDATE('はじめに'!$C$5,J421)</f>
        <v/>
      </c>
      <c r="L421" s="42" t="inlineStr">
        <is>
          <t>推奨</t>
        </is>
      </c>
      <c r="M421" s="42" t="inlineStr">
        <is>
          <t>2人</t>
        </is>
      </c>
      <c r="N421" s="42" t="inlineStr">
        <is>
          <t>1時間</t>
        </is>
      </c>
      <c r="O421" s="45" t="inlineStr"/>
      <c r="P421" s="45" t="inlineStr"/>
      <c r="Q421" s="38" t="inlineStr">
        <is>
          <t>未着手</t>
        </is>
      </c>
      <c r="R421" s="28" t="inlineStr"/>
    </row>
    <row r="422">
      <c r="A422" s="33" t="inlineStr">
        <is>
          <t>P10-04</t>
        </is>
      </c>
      <c r="B422" s="33" t="inlineStr">
        <is>
          <t>P10</t>
        </is>
      </c>
      <c r="C422" s="34" t="inlineStr">
        <is>
          <t>用品</t>
        </is>
      </c>
      <c r="D422" s="33" t="n">
        <v>2</v>
      </c>
      <c r="E422" s="35" t="inlineStr">
        <is>
          <t>チャイルドシートを決めて取り付ける</t>
        </is>
      </c>
      <c r="F422" s="36" t="inlineStr">
        <is>
          <t>車に取り付け済みで、乗せ降ろしの練習も終わっている</t>
        </is>
      </c>
      <c r="G422" s="36" t="inlineStr">
        <is>
          <t>回転式か固定式か、いつ買うか</t>
        </is>
      </c>
      <c r="H422" s="36" t="inlineStr">
        <is>
          <t>Combi クルムーヴ／Aprica フラディア／Cybex Sirona／Maxi-Cosi／Joie／Britax Römer／Nuna</t>
        </is>
      </c>
      <c r="I422" s="36" t="inlineStr">
        <is>
          <t>退院日に必須（6歳未満は法定義務）。判断軸：ISOFIX対応か／回転式（乗せ降ろしが劇的に楽・重い）か固定式か／新生児から使えるか／R129適合／自車種の適合表を必ず確認</t>
        </is>
      </c>
      <c r="J422" s="33" t="n">
        <v>34</v>
      </c>
      <c r="K422" s="37">
        <f>EDATE('はじめに'!$C$5,J422)</f>
        <v/>
      </c>
      <c r="L422" s="33" t="inlineStr">
        <is>
          <t>法定</t>
        </is>
      </c>
      <c r="M422" s="33" t="inlineStr">
        <is>
          <t>パートナー</t>
        </is>
      </c>
      <c r="N422" s="33" t="inlineStr">
        <is>
          <t>2週間</t>
        </is>
      </c>
      <c r="O422" s="36" t="inlineStr">
        <is>
          <t>3〜7万円</t>
        </is>
      </c>
      <c r="P422" s="36" t="inlineStr"/>
      <c r="Q422" s="38" t="inlineStr">
        <is>
          <t>未着手</t>
        </is>
      </c>
      <c r="R422" s="28" t="inlineStr"/>
    </row>
    <row r="423" outlineLevel="1">
      <c r="A423" s="42" t="inlineStr">
        <is>
          <t>P10-04-01</t>
        </is>
      </c>
      <c r="B423" s="42" t="inlineStr">
        <is>
          <t>P10</t>
        </is>
      </c>
      <c r="C423" s="43" t="inlineStr">
        <is>
          <t>用品</t>
        </is>
      </c>
      <c r="D423" s="42" t="n">
        <v>3</v>
      </c>
      <c r="E423" s="44" t="inlineStr">
        <is>
          <t>自車種の適合表を確認する</t>
        </is>
      </c>
      <c r="F423" s="45" t="inlineStr">
        <is>
          <t>取り付け可能な機種が分かっている</t>
        </is>
      </c>
      <c r="G423" s="45" t="inlineStr"/>
      <c r="H423" s="45" t="inlineStr"/>
      <c r="I423" s="45" t="inlineStr"/>
      <c r="J423" s="42" t="n">
        <v>34</v>
      </c>
      <c r="K423" s="46">
        <f>EDATE('はじめに'!$C$5,J423)</f>
        <v/>
      </c>
      <c r="L423" s="42" t="inlineStr">
        <is>
          <t>推奨</t>
        </is>
      </c>
      <c r="M423" s="42" t="inlineStr">
        <is>
          <t>パートナー</t>
        </is>
      </c>
      <c r="N423" s="42" t="inlineStr">
        <is>
          <t>30分</t>
        </is>
      </c>
      <c r="O423" s="45" t="inlineStr"/>
      <c r="P423" s="45" t="inlineStr"/>
      <c r="Q423" s="38" t="inlineStr">
        <is>
          <t>未着手</t>
        </is>
      </c>
      <c r="R423" s="28" t="inlineStr"/>
    </row>
    <row r="424" outlineLevel="1">
      <c r="A424" s="39" t="inlineStr">
        <is>
          <t>P10-04-02</t>
        </is>
      </c>
      <c r="B424" s="39" t="inlineStr">
        <is>
          <t>P10</t>
        </is>
      </c>
      <c r="C424" s="22" t="inlineStr">
        <is>
          <t>用品</t>
        </is>
      </c>
      <c r="D424" s="39" t="n">
        <v>3</v>
      </c>
      <c r="E424" s="40" t="inlineStr">
        <is>
          <t>購入する</t>
        </is>
      </c>
      <c r="F424" s="24" t="inlineStr">
        <is>
          <t>手元にある</t>
        </is>
      </c>
      <c r="G424" s="24" t="inlineStr"/>
      <c r="H424" s="24" t="inlineStr"/>
      <c r="I424" s="24" t="inlineStr"/>
      <c r="J424" s="39" t="n">
        <v>34</v>
      </c>
      <c r="K424" s="41">
        <f>EDATE('はじめに'!$C$5,J424)</f>
        <v/>
      </c>
      <c r="L424" s="39" t="inlineStr">
        <is>
          <t>法定</t>
        </is>
      </c>
      <c r="M424" s="39" t="inlineStr">
        <is>
          <t>パートナー</t>
        </is>
      </c>
      <c r="N424" s="39" t="inlineStr">
        <is>
          <t>2時間</t>
        </is>
      </c>
      <c r="O424" s="24" t="inlineStr"/>
      <c r="P424" s="24" t="inlineStr"/>
      <c r="Q424" s="38" t="inlineStr">
        <is>
          <t>未着手</t>
        </is>
      </c>
      <c r="R424" s="28" t="inlineStr"/>
    </row>
    <row r="425" outlineLevel="1">
      <c r="A425" s="42" t="inlineStr">
        <is>
          <t>P10-04-03</t>
        </is>
      </c>
      <c r="B425" s="42" t="inlineStr">
        <is>
          <t>P10</t>
        </is>
      </c>
      <c r="C425" s="43" t="inlineStr">
        <is>
          <t>用品</t>
        </is>
      </c>
      <c r="D425" s="42" t="n">
        <v>3</v>
      </c>
      <c r="E425" s="44" t="inlineStr">
        <is>
          <t>車に取り付けて、人形やぬいぐるみで乗せ降ろしを練習する</t>
        </is>
      </c>
      <c r="F425" s="45" t="inlineStr">
        <is>
          <t>退院日にぶっつけ本番にならない</t>
        </is>
      </c>
      <c r="G425" s="45" t="inlineStr"/>
      <c r="H425" s="45" t="inlineStr"/>
      <c r="I425" s="45" t="inlineStr"/>
      <c r="J425" s="42" t="n">
        <v>35</v>
      </c>
      <c r="K425" s="46">
        <f>EDATE('はじめに'!$C$5,J425)</f>
        <v/>
      </c>
      <c r="L425" s="42" t="inlineStr">
        <is>
          <t>推奨</t>
        </is>
      </c>
      <c r="M425" s="42" t="inlineStr">
        <is>
          <t>パートナー</t>
        </is>
      </c>
      <c r="N425" s="42" t="inlineStr">
        <is>
          <t>1時間</t>
        </is>
      </c>
      <c r="O425" s="45" t="inlineStr"/>
      <c r="P425" s="45" t="inlineStr"/>
      <c r="Q425" s="38" t="inlineStr">
        <is>
          <t>未着手</t>
        </is>
      </c>
      <c r="R425" s="28" t="inlineStr"/>
    </row>
    <row r="426" outlineLevel="1">
      <c r="A426" s="39" t="inlineStr">
        <is>
          <t>P10-04-04</t>
        </is>
      </c>
      <c r="B426" s="39" t="inlineStr">
        <is>
          <t>P10</t>
        </is>
      </c>
      <c r="C426" s="22" t="inlineStr">
        <is>
          <t>用品</t>
        </is>
      </c>
      <c r="D426" s="39" t="n">
        <v>3</v>
      </c>
      <c r="E426" s="40" t="inlineStr">
        <is>
          <t>車がない場合の退院手段を決める（タクシーはチャイルドシート不要だが要確認）</t>
        </is>
      </c>
      <c r="F426" s="24" t="inlineStr">
        <is>
          <t>退院の移動手段が決まっている</t>
        </is>
      </c>
      <c r="G426" s="24" t="inlineStr"/>
      <c r="H426" s="24" t="inlineStr"/>
      <c r="I426" s="24" t="inlineStr"/>
      <c r="J426" s="39" t="n">
        <v>35</v>
      </c>
      <c r="K426" s="41">
        <f>EDATE('はじめに'!$C$5,J426)</f>
        <v/>
      </c>
      <c r="L426" s="39" t="inlineStr">
        <is>
          <t>推奨</t>
        </is>
      </c>
      <c r="M426" s="39" t="inlineStr">
        <is>
          <t>2人</t>
        </is>
      </c>
      <c r="N426" s="39" t="inlineStr">
        <is>
          <t>30分</t>
        </is>
      </c>
      <c r="O426" s="24" t="inlineStr"/>
      <c r="P426" s="24" t="inlineStr"/>
      <c r="Q426" s="38" t="inlineStr">
        <is>
          <t>未着手</t>
        </is>
      </c>
      <c r="R426" s="28" t="inlineStr"/>
    </row>
    <row r="427">
      <c r="A427" s="33" t="inlineStr">
        <is>
          <t>P10-05</t>
        </is>
      </c>
      <c r="B427" s="33" t="inlineStr">
        <is>
          <t>P10</t>
        </is>
      </c>
      <c r="C427" s="34" t="inlineStr">
        <is>
          <t>用品</t>
        </is>
      </c>
      <c r="D427" s="33" t="n">
        <v>2</v>
      </c>
      <c r="E427" s="35" t="inlineStr">
        <is>
          <t>抱っこ紐を決める</t>
        </is>
      </c>
      <c r="F427" s="36" t="inlineStr">
        <is>
          <t>2人とも装着できる状態になっている</t>
        </is>
      </c>
      <c r="G427" s="36" t="inlineStr">
        <is>
          <t>新生児から使えるものにするか、何本持つか</t>
        </is>
      </c>
      <c r="H427" s="36" t="inlineStr">
        <is>
          <t>Ergobaby Omni Breeze／Adapt　BabyBjörn Harmony／Mini　Konny（軽量・布製）／napnap／Aprica／Boba／モンベル</t>
        </is>
      </c>
      <c r="I427" s="36" t="inlineStr">
        <is>
          <t>体格との相性が激しいので必ず2人とも試着する。判断軸：新生児対応（インサート要否）／腰ベルトの有無と腰痛／夏の蒸れ（メッシュ）／片手で装着できるか／洗えるか。サブでコンパクトな物をもう1つ持つと機動力が上がる</t>
        </is>
      </c>
      <c r="J427" s="33" t="n">
        <v>34</v>
      </c>
      <c r="K427" s="37">
        <f>EDATE('はじめに'!$C$5,J427)</f>
        <v/>
      </c>
      <c r="L427" s="33" t="inlineStr">
        <is>
          <t>推奨</t>
        </is>
      </c>
      <c r="M427" s="33" t="inlineStr">
        <is>
          <t>2人</t>
        </is>
      </c>
      <c r="N427" s="33" t="inlineStr">
        <is>
          <t>2週間</t>
        </is>
      </c>
      <c r="O427" s="36" t="inlineStr">
        <is>
          <t>1.5〜4万円</t>
        </is>
      </c>
      <c r="P427" s="36" t="inlineStr"/>
      <c r="Q427" s="38" t="inlineStr">
        <is>
          <t>未着手</t>
        </is>
      </c>
      <c r="R427" s="28" t="inlineStr"/>
    </row>
    <row r="428" outlineLevel="1">
      <c r="A428" s="39" t="inlineStr">
        <is>
          <t>P10-05-01</t>
        </is>
      </c>
      <c r="B428" s="39" t="inlineStr">
        <is>
          <t>P10</t>
        </is>
      </c>
      <c r="C428" s="22" t="inlineStr">
        <is>
          <t>用品</t>
        </is>
      </c>
      <c r="D428" s="39" t="n">
        <v>3</v>
      </c>
      <c r="E428" s="40" t="inlineStr">
        <is>
          <t>店舗で2人とも試着する（実際の重さの人形を入れて）</t>
        </is>
      </c>
      <c r="F428" s="24" t="inlineStr">
        <is>
          <t>2人に合う機種が分かっている</t>
        </is>
      </c>
      <c r="G428" s="24" t="inlineStr"/>
      <c r="H428" s="24" t="inlineStr"/>
      <c r="I428" s="24" t="inlineStr"/>
      <c r="J428" s="39" t="n">
        <v>34</v>
      </c>
      <c r="K428" s="41">
        <f>EDATE('はじめに'!$C$5,J428)</f>
        <v/>
      </c>
      <c r="L428" s="39" t="inlineStr">
        <is>
          <t>推奨</t>
        </is>
      </c>
      <c r="M428" s="39" t="inlineStr">
        <is>
          <t>2人</t>
        </is>
      </c>
      <c r="N428" s="39" t="inlineStr">
        <is>
          <t>半日</t>
        </is>
      </c>
      <c r="O428" s="24" t="inlineStr"/>
      <c r="P428" s="24" t="inlineStr"/>
      <c r="Q428" s="38" t="inlineStr">
        <is>
          <t>未着手</t>
        </is>
      </c>
      <c r="R428" s="28" t="inlineStr"/>
    </row>
    <row r="429" outlineLevel="1">
      <c r="A429" s="42" t="inlineStr">
        <is>
          <t>P10-05-02</t>
        </is>
      </c>
      <c r="B429" s="42" t="inlineStr">
        <is>
          <t>P10</t>
        </is>
      </c>
      <c r="C429" s="43" t="inlineStr">
        <is>
          <t>用品</t>
        </is>
      </c>
      <c r="D429" s="42" t="n">
        <v>3</v>
      </c>
      <c r="E429" s="44" t="inlineStr">
        <is>
          <t>メインを購入する</t>
        </is>
      </c>
      <c r="F429" s="45" t="inlineStr">
        <is>
          <t>手元にある</t>
        </is>
      </c>
      <c r="G429" s="45" t="inlineStr"/>
      <c r="H429" s="45" t="inlineStr"/>
      <c r="I429" s="45" t="inlineStr"/>
      <c r="J429" s="42" t="n">
        <v>34</v>
      </c>
      <c r="K429" s="46">
        <f>EDATE('はじめに'!$C$5,J429)</f>
        <v/>
      </c>
      <c r="L429" s="42" t="inlineStr">
        <is>
          <t>推奨</t>
        </is>
      </c>
      <c r="M429" s="42" t="inlineStr">
        <is>
          <t>2人</t>
        </is>
      </c>
      <c r="N429" s="42" t="inlineStr">
        <is>
          <t>1時間</t>
        </is>
      </c>
      <c r="O429" s="45" t="inlineStr"/>
      <c r="P429" s="45" t="inlineStr"/>
      <c r="Q429" s="38" t="inlineStr">
        <is>
          <t>未着手</t>
        </is>
      </c>
      <c r="R429" s="28" t="inlineStr"/>
    </row>
    <row r="430" outlineLevel="1">
      <c r="A430" s="39" t="inlineStr">
        <is>
          <t>P10-05-03</t>
        </is>
      </c>
      <c r="B430" s="39" t="inlineStr">
        <is>
          <t>P10</t>
        </is>
      </c>
      <c r="C430" s="22" t="inlineStr">
        <is>
          <t>用品</t>
        </is>
      </c>
      <c r="D430" s="39" t="n">
        <v>3</v>
      </c>
      <c r="E430" s="40" t="inlineStr">
        <is>
          <t>装着方法を動画で練習する</t>
        </is>
      </c>
      <c r="F430" s="24" t="inlineStr">
        <is>
          <t>2人とも一人で装着できる</t>
        </is>
      </c>
      <c r="G430" s="24" t="inlineStr"/>
      <c r="H430" s="24" t="inlineStr"/>
      <c r="I430" s="24" t="inlineStr"/>
      <c r="J430" s="39" t="n">
        <v>35</v>
      </c>
      <c r="K430" s="41">
        <f>EDATE('はじめに'!$C$5,J430)</f>
        <v/>
      </c>
      <c r="L430" s="39" t="inlineStr">
        <is>
          <t>推奨</t>
        </is>
      </c>
      <c r="M430" s="39" t="inlineStr">
        <is>
          <t>2人</t>
        </is>
      </c>
      <c r="N430" s="39" t="inlineStr">
        <is>
          <t>1時間</t>
        </is>
      </c>
      <c r="O430" s="24" t="inlineStr"/>
      <c r="P430" s="24" t="inlineStr"/>
      <c r="Q430" s="38" t="inlineStr">
        <is>
          <t>未着手</t>
        </is>
      </c>
      <c r="R430" s="28" t="inlineStr"/>
    </row>
    <row r="431">
      <c r="A431" s="33" t="inlineStr">
        <is>
          <t>P10-06</t>
        </is>
      </c>
      <c r="B431" s="33" t="inlineStr">
        <is>
          <t>P10</t>
        </is>
      </c>
      <c r="C431" s="34" t="inlineStr">
        <is>
          <t>用品</t>
        </is>
      </c>
      <c r="D431" s="33" t="n">
        <v>2</v>
      </c>
      <c r="E431" s="35" t="inlineStr">
        <is>
          <t>ベビーベッド・寝具を決める</t>
        </is>
      </c>
      <c r="F431" s="36" t="inlineStr">
        <is>
          <t>赤ちゃんの寝床が設置されている</t>
        </is>
      </c>
      <c r="G431" s="36" t="inlineStr">
        <is>
          <t>買うかレンタルか、そもそも使うか</t>
        </is>
      </c>
      <c r="H431" s="36" t="inlineStr">
        <is>
          <t>購入（カトージ／ヤマサキ／IKEA）／レンタル（ベビレンタ／ナイスベビー／DMMいろいろレンタル）／ベビーベッドを使わず床にベビー布団</t>
        </is>
      </c>
      <c r="I431" s="36" t="inlineStr">
        <is>
          <t>使うのは半年〜1年。レンタルが合理的なことが多い。マットレスは硬いものを（柔らかい寝具は窒息リスク）。大人ベッドでの添い寝は窒息事故のリスクがある</t>
        </is>
      </c>
      <c r="J431" s="33" t="n">
        <v>34</v>
      </c>
      <c r="K431" s="37">
        <f>EDATE('はじめに'!$C$5,J431)</f>
        <v/>
      </c>
      <c r="L431" s="33" t="inlineStr">
        <is>
          <t>推奨</t>
        </is>
      </c>
      <c r="M431" s="33" t="inlineStr">
        <is>
          <t>2人</t>
        </is>
      </c>
      <c r="N431" s="33" t="inlineStr">
        <is>
          <t>2週間</t>
        </is>
      </c>
      <c r="O431" s="36" t="inlineStr">
        <is>
          <t>1〜5万円</t>
        </is>
      </c>
      <c r="P431" s="36" t="inlineStr"/>
      <c r="Q431" s="38" t="inlineStr">
        <is>
          <t>未着手</t>
        </is>
      </c>
      <c r="R431" s="28" t="inlineStr"/>
    </row>
    <row r="432" outlineLevel="1">
      <c r="A432" s="39" t="inlineStr">
        <is>
          <t>P10-06-01</t>
        </is>
      </c>
      <c r="B432" s="39" t="inlineStr">
        <is>
          <t>P10</t>
        </is>
      </c>
      <c r="C432" s="22" t="inlineStr">
        <is>
          <t>用品</t>
        </is>
      </c>
      <c r="D432" s="39" t="n">
        <v>3</v>
      </c>
      <c r="E432" s="40" t="inlineStr">
        <is>
          <t>設置場所を決める（寝室のレイアウトを実際に動かして確認）</t>
        </is>
      </c>
      <c r="F432" s="24" t="inlineStr">
        <is>
          <t>置き場所が決まっている</t>
        </is>
      </c>
      <c r="G432" s="24" t="inlineStr"/>
      <c r="H432" s="24" t="inlineStr"/>
      <c r="I432" s="24" t="inlineStr"/>
      <c r="J432" s="39" t="n">
        <v>34</v>
      </c>
      <c r="K432" s="41">
        <f>EDATE('はじめに'!$C$5,J432)</f>
        <v/>
      </c>
      <c r="L432" s="39" t="inlineStr">
        <is>
          <t>推奨</t>
        </is>
      </c>
      <c r="M432" s="39" t="inlineStr">
        <is>
          <t>2人</t>
        </is>
      </c>
      <c r="N432" s="39" t="inlineStr">
        <is>
          <t>1時間</t>
        </is>
      </c>
      <c r="O432" s="24" t="inlineStr"/>
      <c r="P432" s="24" t="inlineStr"/>
      <c r="Q432" s="38" t="inlineStr">
        <is>
          <t>未着手</t>
        </is>
      </c>
      <c r="R432" s="28" t="inlineStr"/>
    </row>
    <row r="433" outlineLevel="1">
      <c r="A433" s="42" t="inlineStr">
        <is>
          <t>P10-06-02</t>
        </is>
      </c>
      <c r="B433" s="42" t="inlineStr">
        <is>
          <t>P10</t>
        </is>
      </c>
      <c r="C433" s="43" t="inlineStr">
        <is>
          <t>用品</t>
        </is>
      </c>
      <c r="D433" s="42" t="n">
        <v>3</v>
      </c>
      <c r="E433" s="44" t="inlineStr">
        <is>
          <t>購入かレンタルかを決めて手配する</t>
        </is>
      </c>
      <c r="F433" s="45" t="inlineStr">
        <is>
          <t>手配済み</t>
        </is>
      </c>
      <c r="G433" s="45" t="inlineStr"/>
      <c r="H433" s="45" t="inlineStr"/>
      <c r="I433" s="45" t="inlineStr"/>
      <c r="J433" s="42" t="n">
        <v>34</v>
      </c>
      <c r="K433" s="46">
        <f>EDATE('はじめに'!$C$5,J433)</f>
        <v/>
      </c>
      <c r="L433" s="42" t="inlineStr">
        <is>
          <t>推奨</t>
        </is>
      </c>
      <c r="M433" s="42" t="inlineStr">
        <is>
          <t>2人</t>
        </is>
      </c>
      <c r="N433" s="42" t="inlineStr">
        <is>
          <t>2時間</t>
        </is>
      </c>
      <c r="O433" s="45" t="inlineStr"/>
      <c r="P433" s="45" t="inlineStr"/>
      <c r="Q433" s="38" t="inlineStr">
        <is>
          <t>未着手</t>
        </is>
      </c>
      <c r="R433" s="28" t="inlineStr"/>
    </row>
    <row r="434" outlineLevel="1">
      <c r="A434" s="39" t="inlineStr">
        <is>
          <t>P10-06-03</t>
        </is>
      </c>
      <c r="B434" s="39" t="inlineStr">
        <is>
          <t>P10</t>
        </is>
      </c>
      <c r="C434" s="22" t="inlineStr">
        <is>
          <t>用品</t>
        </is>
      </c>
      <c r="D434" s="39" t="n">
        <v>3</v>
      </c>
      <c r="E434" s="40" t="inlineStr">
        <is>
          <t>設置して、夜間のおむつ替え動線を確認する</t>
        </is>
      </c>
      <c r="F434" s="24" t="inlineStr">
        <is>
          <t>夜中に片手で全部届く配置になっている</t>
        </is>
      </c>
      <c r="G434" s="24" t="inlineStr"/>
      <c r="H434" s="24" t="inlineStr"/>
      <c r="I434" s="24" t="inlineStr"/>
      <c r="J434" s="39" t="n">
        <v>36</v>
      </c>
      <c r="K434" s="41">
        <f>EDATE('はじめに'!$C$5,J434)</f>
        <v/>
      </c>
      <c r="L434" s="39" t="inlineStr">
        <is>
          <t>推奨</t>
        </is>
      </c>
      <c r="M434" s="39" t="inlineStr">
        <is>
          <t>2人</t>
        </is>
      </c>
      <c r="N434" s="39" t="inlineStr">
        <is>
          <t>2時間</t>
        </is>
      </c>
      <c r="O434" s="24" t="inlineStr"/>
      <c r="P434" s="24" t="inlineStr"/>
      <c r="Q434" s="38" t="inlineStr">
        <is>
          <t>未着手</t>
        </is>
      </c>
      <c r="R434" s="28" t="inlineStr"/>
    </row>
    <row r="435">
      <c r="A435" s="33" t="inlineStr">
        <is>
          <t>P10-07</t>
        </is>
      </c>
      <c r="B435" s="33" t="inlineStr">
        <is>
          <t>P10</t>
        </is>
      </c>
      <c r="C435" s="34" t="inlineStr">
        <is>
          <t>用品</t>
        </is>
      </c>
      <c r="D435" s="33" t="n">
        <v>2</v>
      </c>
      <c r="E435" s="35" t="inlineStr">
        <is>
          <t>おむつの銘柄を決める（買いだめしない）</t>
        </is>
      </c>
      <c r="F435" s="36" t="inlineStr">
        <is>
          <t>新生児サイズが1〜2袋あり、定期便の設定はまだしていない</t>
        </is>
      </c>
      <c r="G435" s="36" t="inlineStr">
        <is>
          <t>どこの銘柄が体型に合うか</t>
        </is>
      </c>
      <c r="H435" s="36" t="inlineStr">
        <is>
          <t>パンパース はじめての肌へのいちばん（新生児の定番）／パンパース さらさらケア／メリーズ／ムーニー・ナチュラルムーニー／グーン／マミーポコ／Amazon純正</t>
        </is>
      </c>
      <c r="I435" s="36" t="inlineStr">
        <is>
          <t>新生児サイズは1ヶ月で終わるので1〜2袋だけ。体型で漏れ方が全く違うので、複数銘柄を少量ずつ試してから定期便に切り替える</t>
        </is>
      </c>
      <c r="J435" s="33" t="n">
        <v>35</v>
      </c>
      <c r="K435" s="37">
        <f>EDATE('はじめに'!$C$5,J435)</f>
        <v/>
      </c>
      <c r="L435" s="33" t="inlineStr">
        <is>
          <t>推奨</t>
        </is>
      </c>
      <c r="M435" s="33" t="inlineStr">
        <is>
          <t>2人</t>
        </is>
      </c>
      <c r="N435" s="33" t="inlineStr">
        <is>
          <t>1時間</t>
        </is>
      </c>
      <c r="O435" s="36" t="inlineStr">
        <is>
          <t>月5,000〜8,000円</t>
        </is>
      </c>
      <c r="P435" s="36" t="inlineStr"/>
      <c r="Q435" s="38" t="inlineStr">
        <is>
          <t>未着手</t>
        </is>
      </c>
      <c r="R435" s="28" t="inlineStr"/>
    </row>
    <row r="436">
      <c r="A436" s="33" t="inlineStr">
        <is>
          <t>P10-08</t>
        </is>
      </c>
      <c r="B436" s="33" t="inlineStr">
        <is>
          <t>P10</t>
        </is>
      </c>
      <c r="C436" s="34" t="inlineStr">
        <is>
          <t>用品</t>
        </is>
      </c>
      <c r="D436" s="33" t="n">
        <v>2</v>
      </c>
      <c r="E436" s="35" t="inlineStr">
        <is>
          <t>粉ミルク・液体ミルクを用意する</t>
        </is>
      </c>
      <c r="F436" s="36" t="inlineStr">
        <is>
          <t>粉1缶と液体ミルクが数本ある</t>
        </is>
      </c>
      <c r="G436" s="36" t="inlineStr">
        <is>
          <t>完全母乳を目指すか、混合前提か</t>
        </is>
      </c>
      <c r="H436" s="36" t="inlineStr">
        <is>
          <t>粉：明治ほほえみ（らくらくキューブ）／森永はぐくみ／和光堂レーベンスミルクはいはい／ビーンスタークすこやかM1／グリコアイクレオ　液体：明治ほほえみらくらくミルク／アイクレオ赤ちゃんミルク／すこやかM1</t>
        </is>
      </c>
      <c r="I436" s="36" t="inlineStr">
        <is>
          <t>完母予定でも必ず1缶は用意する（母乳が出ない・預ける・災害）。キューブ/スティックは計量不要で外出に強い。液体ミルクは夜間と災害時に圧倒的に楽。赤ちゃんが銘柄を嫌がることがあるので大量買いは後で</t>
        </is>
      </c>
      <c r="J436" s="33" t="n">
        <v>35</v>
      </c>
      <c r="K436" s="37">
        <f>EDATE('はじめに'!$C$5,J436)</f>
        <v/>
      </c>
      <c r="L436" s="33" t="inlineStr">
        <is>
          <t>推奨</t>
        </is>
      </c>
      <c r="M436" s="33" t="inlineStr">
        <is>
          <t>2人</t>
        </is>
      </c>
      <c r="N436" s="33" t="inlineStr">
        <is>
          <t>1時間</t>
        </is>
      </c>
      <c r="O436" s="36" t="inlineStr">
        <is>
          <t>月8,000〜1.5万円</t>
        </is>
      </c>
      <c r="P436" s="36" t="inlineStr"/>
      <c r="Q436" s="38" t="inlineStr">
        <is>
          <t>未着手</t>
        </is>
      </c>
      <c r="R436" s="28" t="inlineStr"/>
    </row>
    <row r="437">
      <c r="A437" s="33" t="inlineStr">
        <is>
          <t>P10-09</t>
        </is>
      </c>
      <c r="B437" s="33" t="inlineStr">
        <is>
          <t>P10</t>
        </is>
      </c>
      <c r="C437" s="34" t="inlineStr">
        <is>
          <t>用品</t>
        </is>
      </c>
      <c r="D437" s="33" t="n">
        <v>2</v>
      </c>
      <c r="E437" s="35" t="inlineStr">
        <is>
          <t>哺乳瓶と消毒方法を決める</t>
        </is>
      </c>
      <c r="F437" s="36" t="inlineStr">
        <is>
          <t>哺乳瓶2本と消毒用品が揃っている</t>
        </is>
      </c>
      <c r="G437" s="36" t="inlineStr">
        <is>
          <t>瓶と乳首をどれにするか、消毒はどうするか</t>
        </is>
      </c>
      <c r="H437" s="36" t="inlineStr">
        <is>
          <t>瓶：ピジョン母乳実感（定番）／ドクターベッタ／ChuChu／コンビteteo／Philips Avent　消毒：電子レンジ（コンビ除菌じょ〜ずくん／ピジョン）／薬液（ミルトン／ミルクポン）／煮沸</t>
        </is>
      </c>
      <c r="I437" s="36" t="inlineStr">
        <is>
          <t>乳首の相性で飲まないことがあるので最初は2本まで。電子レンジ消毒が手間と時間のバランスが良い</t>
        </is>
      </c>
      <c r="J437" s="33" t="n">
        <v>35</v>
      </c>
      <c r="K437" s="37">
        <f>EDATE('はじめに'!$C$5,J437)</f>
        <v/>
      </c>
      <c r="L437" s="33" t="inlineStr">
        <is>
          <t>推奨</t>
        </is>
      </c>
      <c r="M437" s="33" t="inlineStr">
        <is>
          <t>2人</t>
        </is>
      </c>
      <c r="N437" s="33" t="inlineStr">
        <is>
          <t>1時間</t>
        </is>
      </c>
      <c r="O437" s="36" t="inlineStr">
        <is>
          <t>5,000〜1万円</t>
        </is>
      </c>
      <c r="P437" s="36" t="inlineStr">
        <is>
          <t>粉ミルクの用意</t>
        </is>
      </c>
      <c r="Q437" s="38" t="inlineStr">
        <is>
          <t>未着手</t>
        </is>
      </c>
      <c r="R437" s="28" t="inlineStr"/>
    </row>
    <row r="438">
      <c r="A438" s="33" t="inlineStr">
        <is>
          <t>P10-10</t>
        </is>
      </c>
      <c r="B438" s="33" t="inlineStr">
        <is>
          <t>P10</t>
        </is>
      </c>
      <c r="C438" s="34" t="inlineStr">
        <is>
          <t>用品</t>
        </is>
      </c>
      <c r="D438" s="33" t="n">
        <v>2</v>
      </c>
      <c r="E438" s="35" t="inlineStr">
        <is>
          <t>沐浴用品とスキンケア用品を揃える</t>
        </is>
      </c>
      <c r="F438" s="36" t="inlineStr">
        <is>
          <t>沐浴一式と保湿剤が揃っている</t>
        </is>
      </c>
      <c r="G438" s="36" t="inlineStr">
        <is>
          <t>保湿剤をどれにするか</t>
        </is>
      </c>
      <c r="H438" s="36" t="inlineStr">
        <is>
          <t>沐浴：ベビーバス（アップリカ／リッチェル／空気式）／衣装ケース代用　保湿：アトピタ／ママ&amp;キッズ／キュレルベビー／babyワセリン／ヒルドイド（処方）</t>
        </is>
      </c>
      <c r="I438" s="36" t="inlineStr">
        <is>
          <t>新生児期からの全身保湿はアトピー性皮膚炎の発症を減らすというエビデンスがある。ケチらず全身に塗る前提で大容量を選ぶ</t>
        </is>
      </c>
      <c r="J438" s="33" t="n">
        <v>35</v>
      </c>
      <c r="K438" s="37">
        <f>EDATE('はじめに'!$C$5,J438)</f>
        <v/>
      </c>
      <c r="L438" s="33" t="inlineStr">
        <is>
          <t>推奨</t>
        </is>
      </c>
      <c r="M438" s="33" t="inlineStr">
        <is>
          <t>2人</t>
        </is>
      </c>
      <c r="N438" s="33" t="inlineStr">
        <is>
          <t>1時間</t>
        </is>
      </c>
      <c r="O438" s="36" t="inlineStr">
        <is>
          <t>5,000〜1万円</t>
        </is>
      </c>
      <c r="P438" s="36" t="inlineStr"/>
      <c r="Q438" s="38" t="inlineStr">
        <is>
          <t>未着手</t>
        </is>
      </c>
      <c r="R438" s="28" t="inlineStr"/>
    </row>
    <row r="439">
      <c r="A439" s="33" t="inlineStr">
        <is>
          <t>P10-11</t>
        </is>
      </c>
      <c r="B439" s="33" t="inlineStr">
        <is>
          <t>P10</t>
        </is>
      </c>
      <c r="C439" s="34" t="inlineStr">
        <is>
          <t>用品</t>
        </is>
      </c>
      <c r="D439" s="33" t="n">
        <v>2</v>
      </c>
      <c r="E439" s="35" t="inlineStr">
        <is>
          <t>その他の育児用品を揃える</t>
        </is>
      </c>
      <c r="F439" s="36" t="inlineStr">
        <is>
          <t>買い物リストが全部消し込まれている</t>
        </is>
      </c>
      <c r="G439" s="36" t="inlineStr">
        <is>
          <t>何を買い、何を借り、何をもらうか</t>
        </is>
      </c>
      <c r="H439" s="36" t="inlineStr">
        <is>
          <t>肌着・ツーウェイオール／ガーゼ／体温計／爪切りはさみ／おむつ用ゴミ箱／電動鼻吸い器（メルシーポット／ピジョン／ベビースマイル）／バウンサー・ハイローチェア（レンタル向き）／ベビーモニター（パナソニック／Cubo Ai）／プレイマット</t>
        </is>
      </c>
      <c r="I439" s="36" t="inlineStr">
        <is>
          <t>バウンサー・ハイローチェアは使う子と使わない子の差が激しいのでレンタルで試す。電動鼻吸い器は生後半年以降の風邪と中耳炎予防で定番</t>
        </is>
      </c>
      <c r="J439" s="33" t="n">
        <v>35</v>
      </c>
      <c r="K439" s="37">
        <f>EDATE('はじめに'!$C$5,J439)</f>
        <v/>
      </c>
      <c r="L439" s="33" t="inlineStr">
        <is>
          <t>推奨</t>
        </is>
      </c>
      <c r="M439" s="33" t="inlineStr">
        <is>
          <t>2人</t>
        </is>
      </c>
      <c r="N439" s="33" t="inlineStr">
        <is>
          <t>2週間</t>
        </is>
      </c>
      <c r="O439" s="36" t="inlineStr">
        <is>
          <t>10〜20万円</t>
        </is>
      </c>
      <c r="P439" s="36" t="inlineStr"/>
      <c r="Q439" s="38" t="inlineStr">
        <is>
          <t>未着手</t>
        </is>
      </c>
      <c r="R439" s="28" t="inlineStr"/>
    </row>
    <row r="440" outlineLevel="1">
      <c r="A440" s="39" t="inlineStr">
        <is>
          <t>P10-11-01</t>
        </is>
      </c>
      <c r="B440" s="39" t="inlineStr">
        <is>
          <t>P10</t>
        </is>
      </c>
      <c r="C440" s="22" t="inlineStr">
        <is>
          <t>用品</t>
        </is>
      </c>
      <c r="D440" s="39" t="n">
        <v>3</v>
      </c>
      <c r="E440" s="40" t="inlineStr">
        <is>
          <t>肌着・ウェアを季節に合わせて各5〜6枚揃える</t>
        </is>
      </c>
      <c r="F440" s="24" t="inlineStr">
        <is>
          <t>揃っている</t>
        </is>
      </c>
      <c r="G440" s="24" t="inlineStr"/>
      <c r="H440" s="24" t="inlineStr"/>
      <c r="I440" s="24" t="inlineStr"/>
      <c r="J440" s="39" t="n">
        <v>35</v>
      </c>
      <c r="K440" s="41">
        <f>EDATE('はじめに'!$C$5,J440)</f>
        <v/>
      </c>
      <c r="L440" s="39" t="inlineStr">
        <is>
          <t>推奨</t>
        </is>
      </c>
      <c r="M440" s="39" t="inlineStr">
        <is>
          <t>2人</t>
        </is>
      </c>
      <c r="N440" s="39" t="inlineStr">
        <is>
          <t>2時間</t>
        </is>
      </c>
      <c r="O440" s="24" t="inlineStr"/>
      <c r="P440" s="24" t="inlineStr"/>
      <c r="Q440" s="38" t="inlineStr">
        <is>
          <t>未着手</t>
        </is>
      </c>
      <c r="R440" s="28" t="inlineStr"/>
    </row>
    <row r="441" outlineLevel="1">
      <c r="A441" s="42" t="inlineStr">
        <is>
          <t>P10-11-02</t>
        </is>
      </c>
      <c r="B441" s="42" t="inlineStr">
        <is>
          <t>P10</t>
        </is>
      </c>
      <c r="C441" s="43" t="inlineStr">
        <is>
          <t>用品</t>
        </is>
      </c>
      <c r="D441" s="42" t="n">
        <v>3</v>
      </c>
      <c r="E441" s="44" t="inlineStr">
        <is>
          <t>お下がり・レンタルで済ませるものを決める</t>
        </is>
      </c>
      <c r="F441" s="45" t="inlineStr">
        <is>
          <t>購入リストが減っている</t>
        </is>
      </c>
      <c r="G441" s="45" t="inlineStr"/>
      <c r="H441" s="45" t="inlineStr"/>
      <c r="I441" s="45" t="inlineStr"/>
      <c r="J441" s="42" t="n">
        <v>35</v>
      </c>
      <c r="K441" s="46">
        <f>EDATE('はじめに'!$C$5,J441)</f>
        <v/>
      </c>
      <c r="L441" s="42" t="inlineStr">
        <is>
          <t>任意</t>
        </is>
      </c>
      <c r="M441" s="42" t="inlineStr">
        <is>
          <t>2人</t>
        </is>
      </c>
      <c r="N441" s="42" t="inlineStr">
        <is>
          <t>1時間</t>
        </is>
      </c>
      <c r="O441" s="45" t="inlineStr"/>
      <c r="P441" s="45" t="inlineStr"/>
      <c r="Q441" s="38" t="inlineStr">
        <is>
          <t>未着手</t>
        </is>
      </c>
      <c r="R441" s="28" t="inlineStr"/>
    </row>
    <row r="442" outlineLevel="1">
      <c r="A442" s="39" t="inlineStr">
        <is>
          <t>P10-11-03</t>
        </is>
      </c>
      <c r="B442" s="39" t="inlineStr">
        <is>
          <t>P10</t>
        </is>
      </c>
      <c r="C442" s="22" t="inlineStr">
        <is>
          <t>用品</t>
        </is>
      </c>
      <c r="D442" s="39" t="n">
        <v>3</v>
      </c>
      <c r="E442" s="40" t="inlineStr">
        <is>
          <t>電動鼻吸い器を買うか決める</t>
        </is>
      </c>
      <c r="F442" s="24" t="inlineStr">
        <is>
          <t>決定している</t>
        </is>
      </c>
      <c r="G442" s="24" t="inlineStr"/>
      <c r="H442" s="24" t="inlineStr"/>
      <c r="I442" s="24" t="inlineStr"/>
      <c r="J442" s="39" t="n">
        <v>35</v>
      </c>
      <c r="K442" s="41">
        <f>EDATE('はじめに'!$C$5,J442)</f>
        <v/>
      </c>
      <c r="L442" s="39" t="inlineStr">
        <is>
          <t>任意</t>
        </is>
      </c>
      <c r="M442" s="39" t="inlineStr">
        <is>
          <t>2人</t>
        </is>
      </c>
      <c r="N442" s="39" t="inlineStr">
        <is>
          <t>30分</t>
        </is>
      </c>
      <c r="O442" s="24" t="inlineStr"/>
      <c r="P442" s="24" t="inlineStr"/>
      <c r="Q442" s="38" t="inlineStr">
        <is>
          <t>未着手</t>
        </is>
      </c>
      <c r="R442" s="28" t="inlineStr"/>
    </row>
    <row r="443" outlineLevel="1">
      <c r="A443" s="42" t="inlineStr">
        <is>
          <t>P10-11-04</t>
        </is>
      </c>
      <c r="B443" s="42" t="inlineStr">
        <is>
          <t>P10</t>
        </is>
      </c>
      <c r="C443" s="43" t="inlineStr">
        <is>
          <t>用品</t>
        </is>
      </c>
      <c r="D443" s="42" t="n">
        <v>3</v>
      </c>
      <c r="E443" s="44" t="inlineStr">
        <is>
          <t>消耗品の定期購入を「出産後に開始」で設定しておく</t>
        </is>
      </c>
      <c r="F443" s="45" t="inlineStr">
        <is>
          <t>産後すぐ発注できる状態</t>
        </is>
      </c>
      <c r="G443" s="45" t="inlineStr"/>
      <c r="H443" s="45" t="inlineStr"/>
      <c r="I443" s="45" t="inlineStr"/>
      <c r="J443" s="42" t="n">
        <v>36</v>
      </c>
      <c r="K443" s="46">
        <f>EDATE('はじめに'!$C$5,J443)</f>
        <v/>
      </c>
      <c r="L443" s="42" t="inlineStr">
        <is>
          <t>推奨</t>
        </is>
      </c>
      <c r="M443" s="42" t="inlineStr">
        <is>
          <t>パートナー</t>
        </is>
      </c>
      <c r="N443" s="42" t="inlineStr">
        <is>
          <t>1時間</t>
        </is>
      </c>
      <c r="O443" s="45" t="inlineStr"/>
      <c r="P443" s="45" t="inlineStr"/>
      <c r="Q443" s="38" t="inlineStr">
        <is>
          <t>未着手</t>
        </is>
      </c>
      <c r="R443" s="28" t="inlineStr"/>
    </row>
    <row r="444">
      <c r="A444" s="33" t="inlineStr">
        <is>
          <t>P10-12</t>
        </is>
      </c>
      <c r="B444" s="33" t="inlineStr">
        <is>
          <t>P10</t>
        </is>
      </c>
      <c r="C444" s="34" t="inlineStr">
        <is>
          <t>準備</t>
        </is>
      </c>
      <c r="D444" s="33" t="n">
        <v>2</v>
      </c>
      <c r="E444" s="35" t="inlineStr">
        <is>
          <t>入院バッグを用意する</t>
        </is>
      </c>
      <c r="F444" s="36" t="inlineStr">
        <is>
          <t>陣痛バッグと入院バッグが玄関に置かれている</t>
        </is>
      </c>
      <c r="G444" s="36" t="inlineStr">
        <is>
          <t>何をどちらのバッグに入れるか</t>
        </is>
      </c>
      <c r="H444" s="36" t="inlineStr">
        <is>
          <t>陣痛バッグ（自分で持てる重さ）／入院バッグ（後から持ってきてもらう）</t>
        </is>
      </c>
      <c r="I444" s="36" t="inlineStr">
        <is>
          <t>33週までに完成させて玄関に置く。早産に備えて早めに。パートナーが場所と中身を把握していることが重要</t>
        </is>
      </c>
      <c r="J444" s="33" t="n">
        <v>35</v>
      </c>
      <c r="K444" s="37">
        <f>EDATE('はじめに'!$C$5,J444)</f>
        <v/>
      </c>
      <c r="L444" s="33" t="inlineStr">
        <is>
          <t>推奨</t>
        </is>
      </c>
      <c r="M444" s="33" t="inlineStr">
        <is>
          <t>2人</t>
        </is>
      </c>
      <c r="N444" s="33" t="inlineStr">
        <is>
          <t>1週間</t>
        </is>
      </c>
      <c r="O444" s="36" t="inlineStr"/>
      <c r="P444" s="36" t="inlineStr"/>
      <c r="Q444" s="38" t="inlineStr">
        <is>
          <t>未着手</t>
        </is>
      </c>
      <c r="R444" s="28" t="inlineStr"/>
    </row>
    <row r="445" outlineLevel="1">
      <c r="A445" s="42" t="inlineStr">
        <is>
          <t>P10-12-01</t>
        </is>
      </c>
      <c r="B445" s="42" t="inlineStr">
        <is>
          <t>P10</t>
        </is>
      </c>
      <c r="C445" s="43" t="inlineStr">
        <is>
          <t>準備</t>
        </is>
      </c>
      <c r="D445" s="42" t="n">
        <v>3</v>
      </c>
      <c r="E445" s="44" t="inlineStr">
        <is>
          <t>陣痛バッグを作る（母子手帳・保険証・診察券・スマホと長い充電ケーブル・ストロー付きボトル・軽食・カイロ・テニスボール）</t>
        </is>
      </c>
      <c r="F445" s="45" t="inlineStr">
        <is>
          <t>完成している</t>
        </is>
      </c>
      <c r="G445" s="45" t="inlineStr"/>
      <c r="H445" s="45" t="inlineStr"/>
      <c r="I445" s="45" t="inlineStr"/>
      <c r="J445" s="42" t="n">
        <v>35</v>
      </c>
      <c r="K445" s="46">
        <f>EDATE('はじめに'!$C$5,J445)</f>
        <v/>
      </c>
      <c r="L445" s="42" t="inlineStr">
        <is>
          <t>推奨</t>
        </is>
      </c>
      <c r="M445" s="42" t="inlineStr">
        <is>
          <t>2人</t>
        </is>
      </c>
      <c r="N445" s="42" t="inlineStr">
        <is>
          <t>2時間</t>
        </is>
      </c>
      <c r="O445" s="45" t="inlineStr"/>
      <c r="P445" s="45" t="inlineStr"/>
      <c r="Q445" s="38" t="inlineStr">
        <is>
          <t>未着手</t>
        </is>
      </c>
      <c r="R445" s="28" t="inlineStr"/>
    </row>
    <row r="446" outlineLevel="1">
      <c r="A446" s="39" t="inlineStr">
        <is>
          <t>P10-12-02</t>
        </is>
      </c>
      <c r="B446" s="39" t="inlineStr">
        <is>
          <t>P10</t>
        </is>
      </c>
      <c r="C446" s="22" t="inlineStr">
        <is>
          <t>準備</t>
        </is>
      </c>
      <c r="D446" s="39" t="n">
        <v>3</v>
      </c>
      <c r="E446" s="40" t="inlineStr">
        <is>
          <t>入院バッグを作る（産褥ショーツ・授乳ブラ・パジャマ・洗面用具・退院時の母子の服・おくるみ）</t>
        </is>
      </c>
      <c r="F446" s="24" t="inlineStr">
        <is>
          <t>完成している</t>
        </is>
      </c>
      <c r="G446" s="24" t="inlineStr"/>
      <c r="H446" s="24" t="inlineStr"/>
      <c r="I446" s="24" t="inlineStr"/>
      <c r="J446" s="39" t="n">
        <v>35</v>
      </c>
      <c r="K446" s="41">
        <f>EDATE('はじめに'!$C$5,J446)</f>
        <v/>
      </c>
      <c r="L446" s="39" t="inlineStr">
        <is>
          <t>推奨</t>
        </is>
      </c>
      <c r="M446" s="39" t="inlineStr">
        <is>
          <t>2人</t>
        </is>
      </c>
      <c r="N446" s="39" t="inlineStr">
        <is>
          <t>2時間</t>
        </is>
      </c>
      <c r="O446" s="24" t="inlineStr"/>
      <c r="P446" s="24" t="inlineStr"/>
      <c r="Q446" s="38" t="inlineStr">
        <is>
          <t>未着手</t>
        </is>
      </c>
      <c r="R446" s="28" t="inlineStr"/>
    </row>
    <row r="447" outlineLevel="1">
      <c r="A447" s="42" t="inlineStr">
        <is>
          <t>P10-12-03</t>
        </is>
      </c>
      <c r="B447" s="42" t="inlineStr">
        <is>
          <t>P10</t>
        </is>
      </c>
      <c r="C447" s="43" t="inlineStr">
        <is>
          <t>準備</t>
        </is>
      </c>
      <c r="D447" s="42" t="n">
        <v>3</v>
      </c>
      <c r="E447" s="44" t="inlineStr">
        <is>
          <t>パートナーが中身と置き場所を把握する</t>
        </is>
      </c>
      <c r="F447" s="45" t="inlineStr">
        <is>
          <t>説明できる状態</t>
        </is>
      </c>
      <c r="G447" s="45" t="inlineStr"/>
      <c r="H447" s="45" t="inlineStr"/>
      <c r="I447" s="45" t="inlineStr"/>
      <c r="J447" s="42" t="n">
        <v>35</v>
      </c>
      <c r="K447" s="46">
        <f>EDATE('はじめに'!$C$5,J447)</f>
        <v/>
      </c>
      <c r="L447" s="42" t="inlineStr">
        <is>
          <t>推奨</t>
        </is>
      </c>
      <c r="M447" s="42" t="inlineStr">
        <is>
          <t>パートナー</t>
        </is>
      </c>
      <c r="N447" s="42" t="inlineStr">
        <is>
          <t>15分</t>
        </is>
      </c>
      <c r="O447" s="45" t="inlineStr"/>
      <c r="P447" s="45" t="inlineStr"/>
      <c r="Q447" s="38" t="inlineStr">
        <is>
          <t>未着手</t>
        </is>
      </c>
      <c r="R447" s="28" t="inlineStr"/>
    </row>
    <row r="448">
      <c r="A448" s="33" t="inlineStr">
        <is>
          <t>P10-13</t>
        </is>
      </c>
      <c r="B448" s="33" t="inlineStr">
        <is>
          <t>P10</t>
        </is>
      </c>
      <c r="C448" s="34" t="inlineStr">
        <is>
          <t>準備</t>
        </is>
      </c>
      <c r="D448" s="33" t="n">
        <v>2</v>
      </c>
      <c r="E448" s="35" t="inlineStr">
        <is>
          <t>産後の家事外注を先に手配する</t>
        </is>
      </c>
      <c r="F448" s="36" t="inlineStr">
        <is>
          <t>契約が済み、初回利用まで終わっている</t>
        </is>
      </c>
      <c r="G448" s="36" t="inlineStr">
        <is>
          <t>何を外注するか、予算はいくらか</t>
        </is>
      </c>
      <c r="H448" s="36" t="inlineStr">
        <is>
          <t>宅配（コープ／パルシステム／らでぃっしゅぼーや）／ネットスーパー／ミールキット／家事代行（CaSy／ベアーズ／タスカジ）／産後ドゥーラ／自治体の産前産後ヘルパー</t>
        </is>
      </c>
      <c r="I448" s="36" t="inlineStr">
        <is>
          <t>産後に探す余力はない。妊娠中に登録と初回利用まで済ませる。「外注費は必要経費」と先に予算化しておくと、産後に費用で揉めない</t>
        </is>
      </c>
      <c r="J448" s="33" t="n">
        <v>35</v>
      </c>
      <c r="K448" s="37">
        <f>EDATE('はじめに'!$C$5,J448)</f>
        <v/>
      </c>
      <c r="L448" s="33" t="inlineStr">
        <is>
          <t>推奨</t>
        </is>
      </c>
      <c r="M448" s="33" t="inlineStr">
        <is>
          <t>2人</t>
        </is>
      </c>
      <c r="N448" s="33" t="inlineStr">
        <is>
          <t>2週間</t>
        </is>
      </c>
      <c r="O448" s="36" t="inlineStr">
        <is>
          <t>月1〜5万円</t>
        </is>
      </c>
      <c r="P448" s="36" t="inlineStr">
        <is>
          <t>つわり期の体制</t>
        </is>
      </c>
      <c r="Q448" s="38" t="inlineStr">
        <is>
          <t>未着手</t>
        </is>
      </c>
      <c r="R448" s="28" t="inlineStr"/>
    </row>
    <row r="449" outlineLevel="1">
      <c r="A449" s="42" t="inlineStr">
        <is>
          <t>P10-13-01</t>
        </is>
      </c>
      <c r="B449" s="42" t="inlineStr">
        <is>
          <t>P10</t>
        </is>
      </c>
      <c r="C449" s="43" t="inlineStr">
        <is>
          <t>準備</t>
        </is>
      </c>
      <c r="D449" s="42" t="n">
        <v>3</v>
      </c>
      <c r="E449" s="44" t="inlineStr">
        <is>
          <t>自治体の産前産後ヘルパー制度を調べて登録する</t>
        </is>
      </c>
      <c r="F449" s="45" t="inlineStr">
        <is>
          <t>登録済み</t>
        </is>
      </c>
      <c r="G449" s="45" t="inlineStr"/>
      <c r="H449" s="45" t="inlineStr"/>
      <c r="I449" s="45" t="inlineStr"/>
      <c r="J449" s="42" t="n">
        <v>35</v>
      </c>
      <c r="K449" s="46">
        <f>EDATE('はじめに'!$C$5,J449)</f>
        <v/>
      </c>
      <c r="L449" s="42" t="inlineStr">
        <is>
          <t>推奨</t>
        </is>
      </c>
      <c r="M449" s="42" t="inlineStr">
        <is>
          <t>どちらか</t>
        </is>
      </c>
      <c r="N449" s="42" t="inlineStr">
        <is>
          <t>2時間</t>
        </is>
      </c>
      <c r="O449" s="45" t="inlineStr"/>
      <c r="P449" s="45" t="inlineStr"/>
      <c r="Q449" s="38" t="inlineStr">
        <is>
          <t>未着手</t>
        </is>
      </c>
      <c r="R449" s="28" t="inlineStr"/>
    </row>
    <row r="450" outlineLevel="1">
      <c r="A450" s="39" t="inlineStr">
        <is>
          <t>P10-13-02</t>
        </is>
      </c>
      <c r="B450" s="39" t="inlineStr">
        <is>
          <t>P10</t>
        </is>
      </c>
      <c r="C450" s="22" t="inlineStr">
        <is>
          <t>準備</t>
        </is>
      </c>
      <c r="D450" s="39" t="n">
        <v>3</v>
      </c>
      <c r="E450" s="40" t="inlineStr">
        <is>
          <t>家事代行を契約し、産前に1回試す（相性を見る）</t>
        </is>
      </c>
      <c r="F450" s="24" t="inlineStr">
        <is>
          <t>初回利用済み</t>
        </is>
      </c>
      <c r="G450" s="24" t="inlineStr"/>
      <c r="H450" s="24" t="inlineStr"/>
      <c r="I450" s="24" t="inlineStr"/>
      <c r="J450" s="39" t="n">
        <v>35</v>
      </c>
      <c r="K450" s="41">
        <f>EDATE('はじめに'!$C$5,J450)</f>
        <v/>
      </c>
      <c r="L450" s="39" t="inlineStr">
        <is>
          <t>任意</t>
        </is>
      </c>
      <c r="M450" s="39" t="inlineStr">
        <is>
          <t>2人</t>
        </is>
      </c>
      <c r="N450" s="39" t="inlineStr">
        <is>
          <t>半日</t>
        </is>
      </c>
      <c r="O450" s="24" t="inlineStr"/>
      <c r="P450" s="24" t="inlineStr"/>
      <c r="Q450" s="38" t="inlineStr">
        <is>
          <t>未着手</t>
        </is>
      </c>
      <c r="R450" s="28" t="inlineStr"/>
    </row>
    <row r="451" outlineLevel="1">
      <c r="A451" s="42" t="inlineStr">
        <is>
          <t>P10-13-03</t>
        </is>
      </c>
      <c r="B451" s="42" t="inlineStr">
        <is>
          <t>P10</t>
        </is>
      </c>
      <c r="C451" s="43" t="inlineStr">
        <is>
          <t>準備</t>
        </is>
      </c>
      <c r="D451" s="42" t="n">
        <v>3</v>
      </c>
      <c r="E451" s="44" t="inlineStr">
        <is>
          <t>外注費の月額予算を決めて家計に組み込む</t>
        </is>
      </c>
      <c r="F451" s="45" t="inlineStr">
        <is>
          <t>予算が確保されている</t>
        </is>
      </c>
      <c r="G451" s="45" t="inlineStr"/>
      <c r="H451" s="45" t="inlineStr"/>
      <c r="I451" s="45" t="inlineStr"/>
      <c r="J451" s="42" t="n">
        <v>35</v>
      </c>
      <c r="K451" s="46">
        <f>EDATE('はじめに'!$C$5,J451)</f>
        <v/>
      </c>
      <c r="L451" s="42" t="inlineStr">
        <is>
          <t>推奨</t>
        </is>
      </c>
      <c r="M451" s="42" t="inlineStr">
        <is>
          <t>2人</t>
        </is>
      </c>
      <c r="N451" s="42" t="inlineStr">
        <is>
          <t>30分</t>
        </is>
      </c>
      <c r="O451" s="45" t="inlineStr"/>
      <c r="P451" s="45" t="inlineStr"/>
      <c r="Q451" s="38" t="inlineStr">
        <is>
          <t>未着手</t>
        </is>
      </c>
      <c r="R451" s="28" t="inlineStr"/>
    </row>
    <row r="452" outlineLevel="1">
      <c r="A452" s="39" t="inlineStr">
        <is>
          <t>P10-13-04</t>
        </is>
      </c>
      <c r="B452" s="39" t="inlineStr">
        <is>
          <t>P10</t>
        </is>
      </c>
      <c r="C452" s="22" t="inlineStr">
        <is>
          <t>準備</t>
        </is>
      </c>
      <c r="D452" s="39" t="n">
        <v>3</v>
      </c>
      <c r="E452" s="40" t="inlineStr">
        <is>
          <t>産後1ヶ月分の食料を備蓄する（レトルト・冷凍・飲料の箱買い）</t>
        </is>
      </c>
      <c r="F452" s="24" t="inlineStr">
        <is>
          <t>買い物に行かなくても1ヶ月持つ</t>
        </is>
      </c>
      <c r="G452" s="24" t="inlineStr"/>
      <c r="H452" s="24" t="inlineStr"/>
      <c r="I452" s="24" t="inlineStr"/>
      <c r="J452" s="39" t="n">
        <v>36</v>
      </c>
      <c r="K452" s="41">
        <f>EDATE('はじめに'!$C$5,J452)</f>
        <v/>
      </c>
      <c r="L452" s="39" t="inlineStr">
        <is>
          <t>推奨</t>
        </is>
      </c>
      <c r="M452" s="39" t="inlineStr">
        <is>
          <t>パートナー</t>
        </is>
      </c>
      <c r="N452" s="39" t="inlineStr">
        <is>
          <t>半日</t>
        </is>
      </c>
      <c r="O452" s="24" t="inlineStr"/>
      <c r="P452" s="24" t="inlineStr"/>
      <c r="Q452" s="38" t="inlineStr">
        <is>
          <t>未着手</t>
        </is>
      </c>
      <c r="R452" s="28" t="inlineStr"/>
    </row>
    <row r="453">
      <c r="A453" s="33" t="inlineStr">
        <is>
          <t>P10-14</t>
        </is>
      </c>
      <c r="B453" s="33" t="inlineStr">
        <is>
          <t>P10</t>
        </is>
      </c>
      <c r="C453" s="34" t="inlineStr">
        <is>
          <t>行政</t>
        </is>
      </c>
      <c r="D453" s="33" t="n">
        <v>2</v>
      </c>
      <c r="E453" s="35" t="inlineStr">
        <is>
          <t>産後ケア事業に事前申請しておく</t>
        </is>
      </c>
      <c r="F453" s="36" t="inlineStr">
        <is>
          <t>申請が受理され、いつでも使える状態</t>
        </is>
      </c>
      <c r="G453" s="36" t="inlineStr">
        <is>
          <t>利用するか、どの型を使うか</t>
        </is>
      </c>
      <c r="H453" s="36" t="inlineStr">
        <is>
          <t>宿泊型／デイサービス型／訪問型</t>
        </is>
      </c>
      <c r="I453" s="36" t="inlineStr">
        <is>
          <t>産後に申請しても間に合わないことが多い。妊娠中の事前登録が鉄則。産後1年まで利用できる。「限界が来てから」ではなく予防的に使う前提で申請する</t>
        </is>
      </c>
      <c r="J453" s="33" t="n">
        <v>35</v>
      </c>
      <c r="K453" s="37">
        <f>EDATE('はじめに'!$C$5,J453)</f>
        <v/>
      </c>
      <c r="L453" s="33" t="inlineStr">
        <is>
          <t>推奨</t>
        </is>
      </c>
      <c r="M453" s="33" t="inlineStr">
        <is>
          <t>どちらか</t>
        </is>
      </c>
      <c r="N453" s="33" t="inlineStr">
        <is>
          <t>1週間</t>
        </is>
      </c>
      <c r="O453" s="36" t="inlineStr">
        <is>
          <t>1回2,000〜6,000円</t>
        </is>
      </c>
      <c r="P453" s="36" t="inlineStr">
        <is>
          <t>妊娠届の提出</t>
        </is>
      </c>
      <c r="Q453" s="38" t="inlineStr">
        <is>
          <t>未着手</t>
        </is>
      </c>
      <c r="R453" s="28" t="inlineStr"/>
    </row>
    <row r="454">
      <c r="A454" s="33" t="inlineStr">
        <is>
          <t>P10-15</t>
        </is>
      </c>
      <c r="B454" s="33" t="inlineStr">
        <is>
          <t>P10</t>
        </is>
      </c>
      <c r="C454" s="34" t="inlineStr">
        <is>
          <t>仕事</t>
        </is>
      </c>
      <c r="D454" s="33" t="n">
        <v>2</v>
      </c>
      <c r="E454" s="35" t="inlineStr">
        <is>
          <t>パートナーの育休プランを確定し、会社に申し出る</t>
        </is>
      </c>
      <c r="F454" s="36" t="inlineStr">
        <is>
          <t>取得時期と期間が会社に受理されている</t>
        </is>
      </c>
      <c r="G454" s="36" t="inlineStr">
        <is>
          <t>いつ、どれだけ、何回に分けて取るか</t>
        </is>
      </c>
      <c r="H454" s="36" t="inlineStr">
        <is>
          <t>産後パパ育休（産後8週以内に最大4週、2回分割）＋育休本体（1歳まで、2回分割）</t>
        </is>
      </c>
      <c r="I454" s="36" t="inlineStr">
        <is>
          <t>「産後すぐ2週間だけ」は最悪の設計。一番きついのは生後1〜3ヶ月。①退院〜産後3週 ②生後1〜3ヶ月 ③復職直前の慣らし保育期 に分割するのが実務的に強い。両親とも14日以上取ると出生後休業支援給付金で手取り実質10割</t>
        </is>
      </c>
      <c r="J454" s="33" t="n">
        <v>34</v>
      </c>
      <c r="K454" s="37">
        <f>EDATE('はじめに'!$C$5,J454)</f>
        <v/>
      </c>
      <c r="L454" s="33" t="inlineStr">
        <is>
          <t>推奨</t>
        </is>
      </c>
      <c r="M454" s="33" t="inlineStr">
        <is>
          <t>パートナー</t>
        </is>
      </c>
      <c r="N454" s="33" t="inlineStr">
        <is>
          <t>2週間</t>
        </is>
      </c>
      <c r="O454" s="36" t="inlineStr"/>
      <c r="P454" s="36" t="inlineStr">
        <is>
          <t>勤務先の制度確認</t>
        </is>
      </c>
      <c r="Q454" s="38" t="inlineStr">
        <is>
          <t>未着手</t>
        </is>
      </c>
      <c r="R454" s="28" t="inlineStr"/>
    </row>
    <row r="455" outlineLevel="1">
      <c r="A455" s="42" t="inlineStr">
        <is>
          <t>P10-15-01</t>
        </is>
      </c>
      <c r="B455" s="42" t="inlineStr">
        <is>
          <t>P10</t>
        </is>
      </c>
      <c r="C455" s="43" t="inlineStr">
        <is>
          <t>仕事</t>
        </is>
      </c>
      <c r="D455" s="42" t="n">
        <v>3</v>
      </c>
      <c r="E455" s="44" t="inlineStr">
        <is>
          <t>分割のパターンを3案作って比較する</t>
        </is>
      </c>
      <c r="F455" s="45" t="inlineStr">
        <is>
          <t>案が並んでいる</t>
        </is>
      </c>
      <c r="G455" s="45" t="inlineStr"/>
      <c r="H455" s="45" t="inlineStr"/>
      <c r="I455" s="45" t="inlineStr"/>
      <c r="J455" s="42" t="n">
        <v>34</v>
      </c>
      <c r="K455" s="46">
        <f>EDATE('はじめに'!$C$5,J455)</f>
        <v/>
      </c>
      <c r="L455" s="42" t="inlineStr">
        <is>
          <t>推奨</t>
        </is>
      </c>
      <c r="M455" s="42" t="inlineStr">
        <is>
          <t>2人</t>
        </is>
      </c>
      <c r="N455" s="42" t="inlineStr">
        <is>
          <t>1時間</t>
        </is>
      </c>
      <c r="O455" s="45" t="inlineStr"/>
      <c r="P455" s="45" t="inlineStr"/>
      <c r="Q455" s="38" t="inlineStr">
        <is>
          <t>未着手</t>
        </is>
      </c>
      <c r="R455" s="28" t="inlineStr"/>
    </row>
    <row r="456" outlineLevel="1">
      <c r="A456" s="39" t="inlineStr">
        <is>
          <t>P10-15-02</t>
        </is>
      </c>
      <c r="B456" s="39" t="inlineStr">
        <is>
          <t>P10</t>
        </is>
      </c>
      <c r="C456" s="22" t="inlineStr">
        <is>
          <t>仕事</t>
        </is>
      </c>
      <c r="D456" s="39" t="n">
        <v>3</v>
      </c>
      <c r="E456" s="40" t="inlineStr">
        <is>
          <t>収入シミュレーション（給付金込み）を作る</t>
        </is>
      </c>
      <c r="F456" s="24" t="inlineStr">
        <is>
          <t>手取りの見込みが分かっている</t>
        </is>
      </c>
      <c r="G456" s="24" t="inlineStr"/>
      <c r="H456" s="24" t="inlineStr"/>
      <c r="I456" s="24" t="inlineStr"/>
      <c r="J456" s="39" t="n">
        <v>34</v>
      </c>
      <c r="K456" s="41">
        <f>EDATE('はじめに'!$C$5,J456)</f>
        <v/>
      </c>
      <c r="L456" s="39" t="inlineStr">
        <is>
          <t>推奨</t>
        </is>
      </c>
      <c r="M456" s="39" t="inlineStr">
        <is>
          <t>2人</t>
        </is>
      </c>
      <c r="N456" s="39" t="inlineStr">
        <is>
          <t>1時間</t>
        </is>
      </c>
      <c r="O456" s="24" t="inlineStr"/>
      <c r="P456" s="24" t="inlineStr"/>
      <c r="Q456" s="38" t="inlineStr">
        <is>
          <t>未着手</t>
        </is>
      </c>
      <c r="R456" s="28" t="inlineStr"/>
    </row>
    <row r="457" outlineLevel="1">
      <c r="A457" s="42" t="inlineStr">
        <is>
          <t>P10-15-03</t>
        </is>
      </c>
      <c r="B457" s="42" t="inlineStr">
        <is>
          <t>P10</t>
        </is>
      </c>
      <c r="C457" s="43" t="inlineStr">
        <is>
          <t>仕事</t>
        </is>
      </c>
      <c r="D457" s="42" t="n">
        <v>3</v>
      </c>
      <c r="E457" s="44" t="inlineStr">
        <is>
          <t>会社に申し出る（産後パパ育休は原則2週間前、育休は1ヶ月前）</t>
        </is>
      </c>
      <c r="F457" s="45" t="inlineStr">
        <is>
          <t>受理されている</t>
        </is>
      </c>
      <c r="G457" s="45" t="inlineStr"/>
      <c r="H457" s="45" t="inlineStr"/>
      <c r="I457" s="45" t="inlineStr"/>
      <c r="J457" s="42" t="n">
        <v>35</v>
      </c>
      <c r="K457" s="46">
        <f>EDATE('はじめに'!$C$5,J457)</f>
        <v/>
      </c>
      <c r="L457" s="42" t="inlineStr">
        <is>
          <t>法定</t>
        </is>
      </c>
      <c r="M457" s="42" t="inlineStr">
        <is>
          <t>パートナー</t>
        </is>
      </c>
      <c r="N457" s="42" t="inlineStr">
        <is>
          <t>1時間</t>
        </is>
      </c>
      <c r="O457" s="45" t="inlineStr"/>
      <c r="P457" s="45" t="inlineStr"/>
      <c r="Q457" s="38" t="inlineStr">
        <is>
          <t>未着手</t>
        </is>
      </c>
      <c r="R457" s="28" t="inlineStr"/>
    </row>
    <row r="458" outlineLevel="1">
      <c r="A458" s="39" t="inlineStr">
        <is>
          <t>P10-15-04</t>
        </is>
      </c>
      <c r="B458" s="39" t="inlineStr">
        <is>
          <t>P10</t>
        </is>
      </c>
      <c r="C458" s="22" t="inlineStr">
        <is>
          <t>仕事</t>
        </is>
      </c>
      <c r="D458" s="39" t="n">
        <v>3</v>
      </c>
      <c r="E458" s="40" t="inlineStr">
        <is>
          <t>業務の引き継ぎ計画を作る</t>
        </is>
      </c>
      <c r="F458" s="24" t="inlineStr">
        <is>
          <t>引き継ぎ資料ができている</t>
        </is>
      </c>
      <c r="G458" s="24" t="inlineStr"/>
      <c r="H458" s="24" t="inlineStr"/>
      <c r="I458" s="24" t="inlineStr"/>
      <c r="J458" s="39" t="n">
        <v>35</v>
      </c>
      <c r="K458" s="41">
        <f>EDATE('はじめに'!$C$5,J458)</f>
        <v/>
      </c>
      <c r="L458" s="39" t="inlineStr">
        <is>
          <t>推奨</t>
        </is>
      </c>
      <c r="M458" s="39" t="inlineStr">
        <is>
          <t>パートナー</t>
        </is>
      </c>
      <c r="N458" s="39" t="inlineStr">
        <is>
          <t>1週間</t>
        </is>
      </c>
      <c r="O458" s="24" t="inlineStr"/>
      <c r="P458" s="24" t="inlineStr"/>
      <c r="Q458" s="38" t="inlineStr">
        <is>
          <t>未着手</t>
        </is>
      </c>
      <c r="R458" s="28" t="inlineStr"/>
    </row>
    <row r="459">
      <c r="A459" s="33" t="inlineStr">
        <is>
          <t>P10-16</t>
        </is>
      </c>
      <c r="B459" s="33" t="inlineStr">
        <is>
          <t>P10</t>
        </is>
      </c>
      <c r="C459" s="34" t="inlineStr">
        <is>
          <t>仕事</t>
        </is>
      </c>
      <c r="D459" s="33" t="n">
        <v>2</v>
      </c>
      <c r="E459" s="35" t="inlineStr">
        <is>
          <t>産前休業に入り、業務を引き継ぐ</t>
        </is>
      </c>
      <c r="F459" s="36" t="inlineStr">
        <is>
          <t>引き継ぎが完了し、産休に入っている</t>
        </is>
      </c>
      <c r="G459" s="36" t="inlineStr"/>
      <c r="H459" s="36" t="inlineStr"/>
      <c r="I459" s="36" t="inlineStr"/>
      <c r="J459" s="33" t="n">
        <v>35</v>
      </c>
      <c r="K459" s="37">
        <f>EDATE('はじめに'!$C$5,J459)</f>
        <v/>
      </c>
      <c r="L459" s="33" t="inlineStr">
        <is>
          <t>法定</t>
        </is>
      </c>
      <c r="M459" s="33" t="inlineStr">
        <is>
          <t>妊娠する側</t>
        </is>
      </c>
      <c r="N459" s="33" t="inlineStr">
        <is>
          <t>2週間</t>
        </is>
      </c>
      <c r="O459" s="36" t="inlineStr"/>
      <c r="P459" s="36" t="inlineStr">
        <is>
          <t>勤務先への報告</t>
        </is>
      </c>
      <c r="Q459" s="38" t="inlineStr">
        <is>
          <t>未着手</t>
        </is>
      </c>
      <c r="R459" s="28" t="inlineStr"/>
    </row>
    <row r="460" outlineLevel="1">
      <c r="A460" s="39" t="inlineStr">
        <is>
          <t>P10-16-01</t>
        </is>
      </c>
      <c r="B460" s="39" t="inlineStr">
        <is>
          <t>P10</t>
        </is>
      </c>
      <c r="C460" s="22" t="inlineStr">
        <is>
          <t>仕事</t>
        </is>
      </c>
      <c r="D460" s="39" t="n">
        <v>3</v>
      </c>
      <c r="E460" s="40" t="inlineStr">
        <is>
          <t>産前休業の開始日を決める（出産予定日の6週前＝34週0日から取得可）</t>
        </is>
      </c>
      <c r="F460" s="24" t="inlineStr">
        <is>
          <t>開始日が決まっている</t>
        </is>
      </c>
      <c r="G460" s="24" t="inlineStr"/>
      <c r="H460" s="24" t="inlineStr"/>
      <c r="I460" s="24" t="inlineStr"/>
      <c r="J460" s="39" t="n">
        <v>35</v>
      </c>
      <c r="K460" s="41">
        <f>EDATE('はじめに'!$C$5,J460)</f>
        <v/>
      </c>
      <c r="L460" s="39" t="inlineStr">
        <is>
          <t>法定</t>
        </is>
      </c>
      <c r="M460" s="39" t="inlineStr">
        <is>
          <t>妊娠する側</t>
        </is>
      </c>
      <c r="N460" s="39" t="inlineStr">
        <is>
          <t>30分</t>
        </is>
      </c>
      <c r="O460" s="24" t="inlineStr"/>
      <c r="P460" s="24" t="inlineStr"/>
      <c r="Q460" s="38" t="inlineStr">
        <is>
          <t>未着手</t>
        </is>
      </c>
      <c r="R460" s="28" t="inlineStr"/>
    </row>
    <row r="461" outlineLevel="1">
      <c r="A461" s="42" t="inlineStr">
        <is>
          <t>P10-16-02</t>
        </is>
      </c>
      <c r="B461" s="42" t="inlineStr">
        <is>
          <t>P10</t>
        </is>
      </c>
      <c r="C461" s="43" t="inlineStr">
        <is>
          <t>仕事</t>
        </is>
      </c>
      <c r="D461" s="42" t="n">
        <v>3</v>
      </c>
      <c r="E461" s="44" t="inlineStr">
        <is>
          <t>業務を引き継ぎ、連絡ルールを決める（休業中は連絡しない等）</t>
        </is>
      </c>
      <c r="F461" s="45" t="inlineStr">
        <is>
          <t>引き継ぎ完了</t>
        </is>
      </c>
      <c r="G461" s="45" t="inlineStr"/>
      <c r="H461" s="45" t="inlineStr"/>
      <c r="I461" s="45" t="inlineStr"/>
      <c r="J461" s="42" t="n">
        <v>35</v>
      </c>
      <c r="K461" s="46">
        <f>EDATE('はじめに'!$C$5,J461)</f>
        <v/>
      </c>
      <c r="L461" s="42" t="inlineStr">
        <is>
          <t>推奨</t>
        </is>
      </c>
      <c r="M461" s="42" t="inlineStr">
        <is>
          <t>妊娠する側</t>
        </is>
      </c>
      <c r="N461" s="42" t="inlineStr">
        <is>
          <t>1週間</t>
        </is>
      </c>
      <c r="O461" s="45" t="inlineStr"/>
      <c r="P461" s="45" t="inlineStr"/>
      <c r="Q461" s="38" t="inlineStr">
        <is>
          <t>未着手</t>
        </is>
      </c>
      <c r="R461" s="28" t="inlineStr"/>
    </row>
    <row r="462">
      <c r="A462" s="33" t="inlineStr">
        <is>
          <t>P10-17</t>
        </is>
      </c>
      <c r="B462" s="33" t="inlineStr">
        <is>
          <t>P10</t>
        </is>
      </c>
      <c r="C462" s="34" t="inlineStr">
        <is>
          <t>準備</t>
        </is>
      </c>
      <c r="D462" s="33" t="n">
        <v>2</v>
      </c>
      <c r="E462" s="35" t="inlineStr">
        <is>
          <t>名前を決める</t>
        </is>
      </c>
      <c r="F462" s="36" t="inlineStr">
        <is>
          <t>第1候補が決まり、漢字が使えることも確認済み</t>
        </is>
      </c>
      <c r="G462" s="36" t="inlineStr">
        <is>
          <t>どう決めるか、親の意見をどこまで入れるか</t>
        </is>
      </c>
      <c r="H462" s="36" t="inlineStr">
        <is>
          <t>2人だけで決める／親に相談する／候補を出して顔を見てから決める</t>
        </is>
      </c>
      <c r="I462" s="36" t="inlineStr">
        <is>
          <t>出生届は14日以内。産後に揉めると詰む。人名用漢字に含まれるか、読み方に無理がないかを事前に確認する</t>
        </is>
      </c>
      <c r="J462" s="33" t="n">
        <v>36</v>
      </c>
      <c r="K462" s="37">
        <f>EDATE('はじめに'!$C$5,J462)</f>
        <v/>
      </c>
      <c r="L462" s="33" t="inlineStr">
        <is>
          <t>推奨</t>
        </is>
      </c>
      <c r="M462" s="33" t="inlineStr">
        <is>
          <t>2人</t>
        </is>
      </c>
      <c r="N462" s="33" t="inlineStr">
        <is>
          <t>2週間</t>
        </is>
      </c>
      <c r="O462" s="36" t="inlineStr"/>
      <c r="P462" s="36" t="inlineStr"/>
      <c r="Q462" s="38" t="inlineStr">
        <is>
          <t>未着手</t>
        </is>
      </c>
      <c r="R462" s="28" t="inlineStr"/>
    </row>
    <row r="463" outlineLevel="1">
      <c r="A463" s="42" t="inlineStr">
        <is>
          <t>P10-17-01</t>
        </is>
      </c>
      <c r="B463" s="42" t="inlineStr">
        <is>
          <t>P10</t>
        </is>
      </c>
      <c r="C463" s="43" t="inlineStr">
        <is>
          <t>準備</t>
        </is>
      </c>
      <c r="D463" s="42" t="n">
        <v>3</v>
      </c>
      <c r="E463" s="44" t="inlineStr">
        <is>
          <t>各自が候補を5つ出す</t>
        </is>
      </c>
      <c r="F463" s="45" t="inlineStr">
        <is>
          <t>候補が出揃っている</t>
        </is>
      </c>
      <c r="G463" s="45" t="inlineStr"/>
      <c r="H463" s="45" t="inlineStr"/>
      <c r="I463" s="45" t="inlineStr"/>
      <c r="J463" s="42" t="n">
        <v>36</v>
      </c>
      <c r="K463" s="46">
        <f>EDATE('はじめに'!$C$5,J463)</f>
        <v/>
      </c>
      <c r="L463" s="42" t="inlineStr">
        <is>
          <t>推奨</t>
        </is>
      </c>
      <c r="M463" s="42" t="inlineStr">
        <is>
          <t>2人</t>
        </is>
      </c>
      <c r="N463" s="42" t="inlineStr">
        <is>
          <t>1時間</t>
        </is>
      </c>
      <c r="O463" s="45" t="inlineStr"/>
      <c r="P463" s="45" t="inlineStr"/>
      <c r="Q463" s="38" t="inlineStr">
        <is>
          <t>未着手</t>
        </is>
      </c>
      <c r="R463" s="28" t="inlineStr"/>
    </row>
    <row r="464" outlineLevel="1">
      <c r="A464" s="39" t="inlineStr">
        <is>
          <t>P10-17-02</t>
        </is>
      </c>
      <c r="B464" s="39" t="inlineStr">
        <is>
          <t>P10</t>
        </is>
      </c>
      <c r="C464" s="22" t="inlineStr">
        <is>
          <t>準備</t>
        </is>
      </c>
      <c r="D464" s="39" t="n">
        <v>3</v>
      </c>
      <c r="E464" s="40" t="inlineStr">
        <is>
          <t>使える漢字か（人名用漢字）を確認する</t>
        </is>
      </c>
      <c r="F464" s="24" t="inlineStr">
        <is>
          <t>確認済み</t>
        </is>
      </c>
      <c r="G464" s="24" t="inlineStr"/>
      <c r="H464" s="24" t="inlineStr"/>
      <c r="I464" s="24" t="inlineStr"/>
      <c r="J464" s="39" t="n">
        <v>36</v>
      </c>
      <c r="K464" s="41">
        <f>EDATE('はじめに'!$C$5,J464)</f>
        <v/>
      </c>
      <c r="L464" s="39" t="inlineStr">
        <is>
          <t>法定</t>
        </is>
      </c>
      <c r="M464" s="39" t="inlineStr">
        <is>
          <t>どちらか</t>
        </is>
      </c>
      <c r="N464" s="39" t="inlineStr">
        <is>
          <t>30分</t>
        </is>
      </c>
      <c r="O464" s="24" t="inlineStr"/>
      <c r="P464" s="24" t="inlineStr"/>
      <c r="Q464" s="38" t="inlineStr">
        <is>
          <t>未着手</t>
        </is>
      </c>
      <c r="R464" s="28" t="inlineStr"/>
    </row>
    <row r="465" outlineLevel="1">
      <c r="A465" s="42" t="inlineStr">
        <is>
          <t>P10-17-03</t>
        </is>
      </c>
      <c r="B465" s="42" t="inlineStr">
        <is>
          <t>P10</t>
        </is>
      </c>
      <c r="C465" s="43" t="inlineStr">
        <is>
          <t>準備</t>
        </is>
      </c>
      <c r="D465" s="42" t="n">
        <v>3</v>
      </c>
      <c r="E465" s="44" t="inlineStr">
        <is>
          <t>第1〜第3候補まで絞る</t>
        </is>
      </c>
      <c r="F465" s="45" t="inlineStr">
        <is>
          <t>候補が決まっている</t>
        </is>
      </c>
      <c r="G465" s="45" t="inlineStr"/>
      <c r="H465" s="45" t="inlineStr"/>
      <c r="I465" s="45" t="inlineStr"/>
      <c r="J465" s="42" t="n">
        <v>36</v>
      </c>
      <c r="K465" s="46">
        <f>EDATE('はじめに'!$C$5,J465)</f>
        <v/>
      </c>
      <c r="L465" s="42" t="inlineStr">
        <is>
          <t>推奨</t>
        </is>
      </c>
      <c r="M465" s="42" t="inlineStr">
        <is>
          <t>2人</t>
        </is>
      </c>
      <c r="N465" s="42" t="inlineStr">
        <is>
          <t>1時間</t>
        </is>
      </c>
      <c r="O465" s="45" t="inlineStr"/>
      <c r="P465" s="45" t="inlineStr"/>
      <c r="Q465" s="38" t="inlineStr">
        <is>
          <t>未着手</t>
        </is>
      </c>
      <c r="R465" s="28" t="inlineStr"/>
    </row>
    <row r="466" outlineLevel="1">
      <c r="A466" s="39" t="inlineStr">
        <is>
          <t>P10-17-04</t>
        </is>
      </c>
      <c r="B466" s="39" t="inlineStr">
        <is>
          <t>P10</t>
        </is>
      </c>
      <c r="C466" s="22" t="inlineStr">
        <is>
          <t>準備</t>
        </is>
      </c>
      <c r="D466" s="39" t="n">
        <v>3</v>
      </c>
      <c r="E466" s="40" t="inlineStr">
        <is>
          <t>親に相談するかどうかを決める（相談すると口を出される前提で）</t>
        </is>
      </c>
      <c r="F466" s="24" t="inlineStr">
        <is>
          <t>方針が決まっている</t>
        </is>
      </c>
      <c r="G466" s="24" t="inlineStr"/>
      <c r="H466" s="24" t="inlineStr"/>
      <c r="I466" s="24" t="inlineStr"/>
      <c r="J466" s="39" t="n">
        <v>36</v>
      </c>
      <c r="K466" s="41">
        <f>EDATE('はじめに'!$C$5,J466)</f>
        <v/>
      </c>
      <c r="L466" s="39" t="inlineStr">
        <is>
          <t>任意</t>
        </is>
      </c>
      <c r="M466" s="39" t="inlineStr">
        <is>
          <t>2人</t>
        </is>
      </c>
      <c r="N466" s="39" t="inlineStr">
        <is>
          <t>15分</t>
        </is>
      </c>
      <c r="O466" s="24" t="inlineStr"/>
      <c r="P466" s="24" t="inlineStr"/>
      <c r="Q466" s="38" t="inlineStr">
        <is>
          <t>未着手</t>
        </is>
      </c>
      <c r="R466" s="28" t="inlineStr"/>
    </row>
    <row r="467">
      <c r="A467" s="33" t="inlineStr">
        <is>
          <t>P10-18</t>
        </is>
      </c>
      <c r="B467" s="33" t="inlineStr">
        <is>
          <t>P10</t>
        </is>
      </c>
      <c r="C467" s="34" t="inlineStr">
        <is>
          <t>準備</t>
        </is>
      </c>
      <c r="D467" s="33" t="n">
        <v>2</v>
      </c>
      <c r="E467" s="35" t="inlineStr">
        <is>
          <t>陣痛時の連絡フローと搬送手段を決める</t>
        </is>
      </c>
      <c r="F467" s="36" t="inlineStr">
        <is>
          <t>フローが紙に書かれ、冷蔵庫に貼ってある</t>
        </is>
      </c>
      <c r="G467" s="36" t="inlineStr">
        <is>
          <t>パートナーが不在・深夜のときどうするか</t>
        </is>
      </c>
      <c r="H467" s="36" t="inlineStr">
        <is>
          <t>陣痛タクシー（日本交通／kmタクシー等の事前登録）／自家用車／実母／救急</t>
        </is>
      </c>
      <c r="I467" s="36" t="inlineStr">
        <is>
          <t>平日昼・深夜・出張中の3パターンを想定する。連絡がつかない場合の第2連絡先も決める</t>
        </is>
      </c>
      <c r="J467" s="33" t="n">
        <v>36</v>
      </c>
      <c r="K467" s="37">
        <f>EDATE('はじめに'!$C$5,J467)</f>
        <v/>
      </c>
      <c r="L467" s="33" t="inlineStr">
        <is>
          <t>推奨</t>
        </is>
      </c>
      <c r="M467" s="33" t="inlineStr">
        <is>
          <t>2人</t>
        </is>
      </c>
      <c r="N467" s="33" t="inlineStr">
        <is>
          <t>2時間</t>
        </is>
      </c>
      <c r="O467" s="36" t="inlineStr"/>
      <c r="P467" s="36" t="inlineStr">
        <is>
          <t>産院の決定</t>
        </is>
      </c>
      <c r="Q467" s="38" t="inlineStr">
        <is>
          <t>未着手</t>
        </is>
      </c>
      <c r="R467" s="28" t="inlineStr"/>
    </row>
    <row r="468" outlineLevel="1">
      <c r="A468" s="39" t="inlineStr">
        <is>
          <t>P10-18-01</t>
        </is>
      </c>
      <c r="B468" s="39" t="inlineStr">
        <is>
          <t>P10</t>
        </is>
      </c>
      <c r="C468" s="22" t="inlineStr">
        <is>
          <t>準備</t>
        </is>
      </c>
      <c r="D468" s="39" t="n">
        <v>3</v>
      </c>
      <c r="E468" s="40" t="inlineStr">
        <is>
          <t>陣痛タクシーに事前登録する</t>
        </is>
      </c>
      <c r="F468" s="24" t="inlineStr">
        <is>
          <t>登録済み</t>
        </is>
      </c>
      <c r="G468" s="24" t="inlineStr"/>
      <c r="H468" s="24" t="inlineStr"/>
      <c r="I468" s="24" t="inlineStr"/>
      <c r="J468" s="39" t="n">
        <v>36</v>
      </c>
      <c r="K468" s="41">
        <f>EDATE('はじめに'!$C$5,J468)</f>
        <v/>
      </c>
      <c r="L468" s="39" t="inlineStr">
        <is>
          <t>推奨</t>
        </is>
      </c>
      <c r="M468" s="39" t="inlineStr">
        <is>
          <t>どちらか</t>
        </is>
      </c>
      <c r="N468" s="39" t="inlineStr">
        <is>
          <t>30分</t>
        </is>
      </c>
      <c r="O468" s="24" t="inlineStr"/>
      <c r="P468" s="24" t="inlineStr"/>
      <c r="Q468" s="38" t="inlineStr">
        <is>
          <t>未着手</t>
        </is>
      </c>
      <c r="R468" s="28" t="inlineStr"/>
    </row>
    <row r="469" outlineLevel="1">
      <c r="A469" s="42" t="inlineStr">
        <is>
          <t>P10-18-02</t>
        </is>
      </c>
      <c r="B469" s="42" t="inlineStr">
        <is>
          <t>P10</t>
        </is>
      </c>
      <c r="C469" s="43" t="inlineStr">
        <is>
          <t>準備</t>
        </is>
      </c>
      <c r="D469" s="42" t="n">
        <v>3</v>
      </c>
      <c r="E469" s="44" t="inlineStr">
        <is>
          <t>3パターン（平日昼・深夜・パートナー不在）の動きを決める</t>
        </is>
      </c>
      <c r="F469" s="45" t="inlineStr">
        <is>
          <t>各パターンの手順が決まっている</t>
        </is>
      </c>
      <c r="G469" s="45" t="inlineStr"/>
      <c r="H469" s="45" t="inlineStr"/>
      <c r="I469" s="45" t="inlineStr"/>
      <c r="J469" s="42" t="n">
        <v>36</v>
      </c>
      <c r="K469" s="46">
        <f>EDATE('はじめに'!$C$5,J469)</f>
        <v/>
      </c>
      <c r="L469" s="42" t="inlineStr">
        <is>
          <t>推奨</t>
        </is>
      </c>
      <c r="M469" s="42" t="inlineStr">
        <is>
          <t>2人</t>
        </is>
      </c>
      <c r="N469" s="42" t="inlineStr">
        <is>
          <t>1時間</t>
        </is>
      </c>
      <c r="O469" s="45" t="inlineStr"/>
      <c r="P469" s="45" t="inlineStr"/>
      <c r="Q469" s="38" t="inlineStr">
        <is>
          <t>未着手</t>
        </is>
      </c>
      <c r="R469" s="28" t="inlineStr"/>
    </row>
    <row r="470" outlineLevel="1">
      <c r="A470" s="39" t="inlineStr">
        <is>
          <t>P10-18-03</t>
        </is>
      </c>
      <c r="B470" s="39" t="inlineStr">
        <is>
          <t>P10</t>
        </is>
      </c>
      <c r="C470" s="22" t="inlineStr">
        <is>
          <t>準備</t>
        </is>
      </c>
      <c r="D470" s="39" t="n">
        <v>3</v>
      </c>
      <c r="E470" s="40" t="inlineStr">
        <is>
          <t>フローを紙に印刷して冷蔵庫に貼る</t>
        </is>
      </c>
      <c r="F470" s="24" t="inlineStr">
        <is>
          <t>貼ってある</t>
        </is>
      </c>
      <c r="G470" s="24" t="inlineStr"/>
      <c r="H470" s="24" t="inlineStr"/>
      <c r="I470" s="24" t="inlineStr"/>
      <c r="J470" s="39" t="n">
        <v>36</v>
      </c>
      <c r="K470" s="41">
        <f>EDATE('はじめに'!$C$5,J470)</f>
        <v/>
      </c>
      <c r="L470" s="39" t="inlineStr">
        <is>
          <t>推奨</t>
        </is>
      </c>
      <c r="M470" s="39" t="inlineStr">
        <is>
          <t>どちらか</t>
        </is>
      </c>
      <c r="N470" s="39" t="inlineStr">
        <is>
          <t>15分</t>
        </is>
      </c>
      <c r="O470" s="24" t="inlineStr"/>
      <c r="P470" s="24" t="inlineStr"/>
      <c r="Q470" s="38" t="inlineStr">
        <is>
          <t>未着手</t>
        </is>
      </c>
      <c r="R470" s="28" t="inlineStr"/>
    </row>
    <row r="471">
      <c r="A471" s="33" t="inlineStr">
        <is>
          <t>P10-19</t>
        </is>
      </c>
      <c r="B471" s="33" t="inlineStr">
        <is>
          <t>P10</t>
        </is>
      </c>
      <c r="C471" s="34" t="inlineStr">
        <is>
          <t>関係</t>
        </is>
      </c>
      <c r="D471" s="33" t="n">
        <v>2</v>
      </c>
      <c r="E471" s="35" t="inlineStr">
        <is>
          <t>実家・義実家の来訪ルールを合意し、各自が自分の親に伝える</t>
        </is>
      </c>
      <c r="F471" s="36" t="inlineStr">
        <is>
          <t>両家に伝わり、了承されている</t>
        </is>
      </c>
      <c r="G471" s="36" t="inlineStr">
        <is>
          <t>いつから、何日、泊まりか日帰りか、何をしてもらうか</t>
        </is>
      </c>
      <c r="H471" s="36" t="inlineStr">
        <is>
          <t>産後2週間は来訪なし／日中2時間まで／退院直後から泊まり込みで手伝ってもらう</t>
        </is>
      </c>
      <c r="I471" s="36" t="inlineStr">
        <is>
          <t>産後の最大の火種。「各自が自分の実親に伝える」を徹底する。相手の親に言わせると恨みが残る</t>
        </is>
      </c>
      <c r="J471" s="33" t="n">
        <v>36</v>
      </c>
      <c r="K471" s="37">
        <f>EDATE('はじめに'!$C$5,J471)</f>
        <v/>
      </c>
      <c r="L471" s="33" t="inlineStr">
        <is>
          <t>推奨</t>
        </is>
      </c>
      <c r="M471" s="33" t="inlineStr">
        <is>
          <t>2人</t>
        </is>
      </c>
      <c r="N471" s="33" t="inlineStr">
        <is>
          <t>2週間</t>
        </is>
      </c>
      <c r="O471" s="36" t="inlineStr"/>
      <c r="P471" s="36" t="inlineStr">
        <is>
          <t>お互いの親との距離感の確認</t>
        </is>
      </c>
      <c r="Q471" s="38" t="inlineStr">
        <is>
          <t>未着手</t>
        </is>
      </c>
      <c r="R471" s="28" t="inlineStr"/>
    </row>
    <row r="472" outlineLevel="1">
      <c r="A472" s="39" t="inlineStr">
        <is>
          <t>P10-19-01</t>
        </is>
      </c>
      <c r="B472" s="39" t="inlineStr">
        <is>
          <t>P10</t>
        </is>
      </c>
      <c r="C472" s="22" t="inlineStr">
        <is>
          <t>関係</t>
        </is>
      </c>
      <c r="D472" s="39" t="n">
        <v>3</v>
      </c>
      <c r="E472" s="40" t="inlineStr">
        <is>
          <t>来訪の可否・時期・滞在時間・宿泊の有無を2人で決める</t>
        </is>
      </c>
      <c r="F472" s="24" t="inlineStr">
        <is>
          <t>ルールが決まっている</t>
        </is>
      </c>
      <c r="G472" s="24" t="inlineStr"/>
      <c r="H472" s="24" t="inlineStr"/>
      <c r="I472" s="24" t="inlineStr"/>
      <c r="J472" s="39" t="n">
        <v>36</v>
      </c>
      <c r="K472" s="41">
        <f>EDATE('はじめに'!$C$5,J472)</f>
        <v/>
      </c>
      <c r="L472" s="39" t="inlineStr">
        <is>
          <t>推奨</t>
        </is>
      </c>
      <c r="M472" s="39" t="inlineStr">
        <is>
          <t>2人</t>
        </is>
      </c>
      <c r="N472" s="39" t="inlineStr">
        <is>
          <t>1時間</t>
        </is>
      </c>
      <c r="O472" s="24" t="inlineStr"/>
      <c r="P472" s="24" t="inlineStr"/>
      <c r="Q472" s="38" t="inlineStr">
        <is>
          <t>未着手</t>
        </is>
      </c>
      <c r="R472" s="28" t="inlineStr"/>
    </row>
    <row r="473" outlineLevel="1">
      <c r="A473" s="42" t="inlineStr">
        <is>
          <t>P10-19-02</t>
        </is>
      </c>
      <c r="B473" s="42" t="inlineStr">
        <is>
          <t>P10</t>
        </is>
      </c>
      <c r="C473" s="43" t="inlineStr">
        <is>
          <t>関係</t>
        </is>
      </c>
      <c r="D473" s="42" t="n">
        <v>3</v>
      </c>
      <c r="E473" s="44" t="inlineStr">
        <is>
          <t>「来るなら何をしてほしいか」（家事、上の子、買い物）を明示する</t>
        </is>
      </c>
      <c r="F473" s="45" t="inlineStr">
        <is>
          <t>依頼内容が具体的になっている</t>
        </is>
      </c>
      <c r="G473" s="45" t="inlineStr"/>
      <c r="H473" s="45" t="inlineStr"/>
      <c r="I473" s="45" t="inlineStr"/>
      <c r="J473" s="42" t="n">
        <v>36</v>
      </c>
      <c r="K473" s="46">
        <f>EDATE('はじめに'!$C$5,J473)</f>
        <v/>
      </c>
      <c r="L473" s="42" t="inlineStr">
        <is>
          <t>任意</t>
        </is>
      </c>
      <c r="M473" s="42" t="inlineStr">
        <is>
          <t>2人</t>
        </is>
      </c>
      <c r="N473" s="42" t="inlineStr">
        <is>
          <t>30分</t>
        </is>
      </c>
      <c r="O473" s="45" t="inlineStr"/>
      <c r="P473" s="45" t="inlineStr"/>
      <c r="Q473" s="38" t="inlineStr">
        <is>
          <t>未着手</t>
        </is>
      </c>
      <c r="R473" s="28" t="inlineStr"/>
    </row>
    <row r="474" outlineLevel="1">
      <c r="A474" s="39" t="inlineStr">
        <is>
          <t>P10-19-03</t>
        </is>
      </c>
      <c r="B474" s="39" t="inlineStr">
        <is>
          <t>P10</t>
        </is>
      </c>
      <c r="C474" s="22" t="inlineStr">
        <is>
          <t>関係</t>
        </is>
      </c>
      <c r="D474" s="39" t="n">
        <v>3</v>
      </c>
      <c r="E474" s="40" t="inlineStr">
        <is>
          <t>各自が自分の実親に伝える</t>
        </is>
      </c>
      <c r="F474" s="24" t="inlineStr">
        <is>
          <t>両家に伝わっている</t>
        </is>
      </c>
      <c r="G474" s="24" t="inlineStr"/>
      <c r="H474" s="24" t="inlineStr"/>
      <c r="I474" s="24" t="inlineStr"/>
      <c r="J474" s="39" t="n">
        <v>36</v>
      </c>
      <c r="K474" s="41">
        <f>EDATE('はじめに'!$C$5,J474)</f>
        <v/>
      </c>
      <c r="L474" s="39" t="inlineStr">
        <is>
          <t>推奨</t>
        </is>
      </c>
      <c r="M474" s="39" t="inlineStr">
        <is>
          <t>2人</t>
        </is>
      </c>
      <c r="N474" s="39" t="inlineStr">
        <is>
          <t>1時間</t>
        </is>
      </c>
      <c r="O474" s="24" t="inlineStr"/>
      <c r="P474" s="24" t="inlineStr"/>
      <c r="Q474" s="38" t="inlineStr">
        <is>
          <t>未着手</t>
        </is>
      </c>
      <c r="R474" s="28" t="inlineStr"/>
    </row>
    <row r="475">
      <c r="A475" s="33" t="inlineStr">
        <is>
          <t>P10-20</t>
        </is>
      </c>
      <c r="B475" s="33" t="inlineStr">
        <is>
          <t>P10</t>
        </is>
      </c>
      <c r="C475" s="34" t="inlineStr">
        <is>
          <t>お金</t>
        </is>
      </c>
      <c r="D475" s="33" t="n">
        <v>2</v>
      </c>
      <c r="E475" s="35" t="inlineStr">
        <is>
          <t>産後1年の資金繰り表を作る</t>
        </is>
      </c>
      <c r="F475" s="36" t="inlineStr">
        <is>
          <t>月別のキャッシュフロー表があり、現金が足りることを確認済み</t>
        </is>
      </c>
      <c r="G475" s="36" t="inlineStr">
        <is>
          <t>給付金が入るまでの現金は足りるか</t>
        </is>
      </c>
      <c r="H475" s="36" t="inlineStr"/>
      <c r="I475" s="36" t="inlineStr">
        <is>
          <t>出産手当金・育休給付の初回入金は産後2〜4ヶ月後。その間を耐える現金（生活費3〜4ヶ月分）を確保する</t>
        </is>
      </c>
      <c r="J475" s="33" t="n">
        <v>36</v>
      </c>
      <c r="K475" s="37">
        <f>EDATE('はじめに'!$C$5,J475)</f>
        <v/>
      </c>
      <c r="L475" s="33" t="inlineStr">
        <is>
          <t>推奨</t>
        </is>
      </c>
      <c r="M475" s="33" t="inlineStr">
        <is>
          <t>2人</t>
        </is>
      </c>
      <c r="N475" s="33" t="inlineStr">
        <is>
          <t>3時間</t>
        </is>
      </c>
      <c r="O475" s="36" t="inlineStr"/>
      <c r="P475" s="36" t="inlineStr"/>
      <c r="Q475" s="38" t="inlineStr">
        <is>
          <t>未着手</t>
        </is>
      </c>
      <c r="R475" s="28" t="inlineStr"/>
    </row>
    <row r="476" outlineLevel="1">
      <c r="A476" s="39" t="inlineStr">
        <is>
          <t>P10-20-01</t>
        </is>
      </c>
      <c r="B476" s="39" t="inlineStr">
        <is>
          <t>P10</t>
        </is>
      </c>
      <c r="C476" s="22" t="inlineStr">
        <is>
          <t>お金</t>
        </is>
      </c>
      <c r="D476" s="39" t="n">
        <v>3</v>
      </c>
      <c r="E476" s="40" t="inlineStr">
        <is>
          <t>収入（給与・出産手当金・育休給付・児童手当）の入金時期を月別に並べる</t>
        </is>
      </c>
      <c r="F476" s="24" t="inlineStr">
        <is>
          <t>入金カレンダーができている</t>
        </is>
      </c>
      <c r="G476" s="24" t="inlineStr"/>
      <c r="H476" s="24" t="inlineStr"/>
      <c r="I476" s="24" t="inlineStr"/>
      <c r="J476" s="39" t="n">
        <v>36</v>
      </c>
      <c r="K476" s="41">
        <f>EDATE('はじめに'!$C$5,J476)</f>
        <v/>
      </c>
      <c r="L476" s="39" t="inlineStr">
        <is>
          <t>推奨</t>
        </is>
      </c>
      <c r="M476" s="39" t="inlineStr">
        <is>
          <t>2人</t>
        </is>
      </c>
      <c r="N476" s="39" t="inlineStr">
        <is>
          <t>1時間</t>
        </is>
      </c>
      <c r="O476" s="24" t="inlineStr"/>
      <c r="P476" s="24" t="inlineStr"/>
      <c r="Q476" s="38" t="inlineStr">
        <is>
          <t>未着手</t>
        </is>
      </c>
      <c r="R476" s="28" t="inlineStr"/>
    </row>
    <row r="477" outlineLevel="1">
      <c r="A477" s="42" t="inlineStr">
        <is>
          <t>P10-20-02</t>
        </is>
      </c>
      <c r="B477" s="42" t="inlineStr">
        <is>
          <t>P10</t>
        </is>
      </c>
      <c r="C477" s="43" t="inlineStr">
        <is>
          <t>お金</t>
        </is>
      </c>
      <c r="D477" s="42" t="n">
        <v>3</v>
      </c>
      <c r="E477" s="44" t="inlineStr">
        <is>
          <t>支出（出産費用・育児用品・外注費・生活費）を月別に並べる</t>
        </is>
      </c>
      <c r="F477" s="45" t="inlineStr">
        <is>
          <t>支出計画ができている</t>
        </is>
      </c>
      <c r="G477" s="45" t="inlineStr"/>
      <c r="H477" s="45" t="inlineStr"/>
      <c r="I477" s="45" t="inlineStr"/>
      <c r="J477" s="42" t="n">
        <v>36</v>
      </c>
      <c r="K477" s="46">
        <f>EDATE('はじめに'!$C$5,J477)</f>
        <v/>
      </c>
      <c r="L477" s="42" t="inlineStr">
        <is>
          <t>推奨</t>
        </is>
      </c>
      <c r="M477" s="42" t="inlineStr">
        <is>
          <t>2人</t>
        </is>
      </c>
      <c r="N477" s="42" t="inlineStr">
        <is>
          <t>1時間</t>
        </is>
      </c>
      <c r="O477" s="45" t="inlineStr"/>
      <c r="P477" s="45" t="inlineStr"/>
      <c r="Q477" s="38" t="inlineStr">
        <is>
          <t>未着手</t>
        </is>
      </c>
      <c r="R477" s="28" t="inlineStr"/>
    </row>
    <row r="478" outlineLevel="1">
      <c r="A478" s="39" t="inlineStr">
        <is>
          <t>P10-20-03</t>
        </is>
      </c>
      <c r="B478" s="39" t="inlineStr">
        <is>
          <t>P10</t>
        </is>
      </c>
      <c r="C478" s="22" t="inlineStr">
        <is>
          <t>お金</t>
        </is>
      </c>
      <c r="D478" s="39" t="n">
        <v>3</v>
      </c>
      <c r="E478" s="40" t="inlineStr">
        <is>
          <t>現金が不足する月がないか確認し、不足するなら手当てする</t>
        </is>
      </c>
      <c r="F478" s="24" t="inlineStr">
        <is>
          <t>資金ショートしない見通しが立っている</t>
        </is>
      </c>
      <c r="G478" s="24" t="inlineStr"/>
      <c r="H478" s="24" t="inlineStr"/>
      <c r="I478" s="24" t="inlineStr"/>
      <c r="J478" s="39" t="n">
        <v>36</v>
      </c>
      <c r="K478" s="41">
        <f>EDATE('はじめに'!$C$5,J478)</f>
        <v/>
      </c>
      <c r="L478" s="39" t="inlineStr">
        <is>
          <t>推奨</t>
        </is>
      </c>
      <c r="M478" s="39" t="inlineStr">
        <is>
          <t>2人</t>
        </is>
      </c>
      <c r="N478" s="39" t="inlineStr">
        <is>
          <t>1時間</t>
        </is>
      </c>
      <c r="O478" s="24" t="inlineStr"/>
      <c r="P478" s="24" t="inlineStr"/>
      <c r="Q478" s="38" t="inlineStr">
        <is>
          <t>未着手</t>
        </is>
      </c>
      <c r="R478" s="28" t="inlineStr"/>
    </row>
    <row r="479">
      <c r="A479" s="33" t="inlineStr">
        <is>
          <t>P10-21</t>
        </is>
      </c>
      <c r="B479" s="33" t="inlineStr">
        <is>
          <t>P10</t>
        </is>
      </c>
      <c r="C479" s="34" t="inlineStr">
        <is>
          <t>関係</t>
        </is>
      </c>
      <c r="D479" s="33" t="n">
        <v>2</v>
      </c>
      <c r="E479" s="35" t="inlineStr">
        <is>
          <t>産後の役割分担を事前に決める</t>
        </is>
      </c>
      <c r="F479" s="36" t="inlineStr">
        <is>
          <t>夜間・手続き・家事の担当が紙に書かれている</t>
        </is>
      </c>
      <c r="G479" s="36" t="inlineStr">
        <is>
          <t>夜間対応・手続き・家事を誰がやるか</t>
        </is>
      </c>
      <c r="H479" s="36" t="inlineStr">
        <is>
          <t>夜間は時間で交代制／授乳は妊娠する側・おむつと寝かしつけはパートナー／週末はパートナーが全部</t>
        </is>
      </c>
      <c r="I479" s="36" t="inlineStr">
        <is>
          <t>「気づいた方が起きる」は、気づく方に全部乗る。時間で機械的に切る。産後は判断力が落ちるので、事前に決めた紙に従うだけの状態にする</t>
        </is>
      </c>
      <c r="J479" s="33" t="n">
        <v>36</v>
      </c>
      <c r="K479" s="37">
        <f>EDATE('はじめに'!$C$5,J479)</f>
        <v/>
      </c>
      <c r="L479" s="33" t="inlineStr">
        <is>
          <t>推奨</t>
        </is>
      </c>
      <c r="M479" s="33" t="inlineStr">
        <is>
          <t>2人</t>
        </is>
      </c>
      <c r="N479" s="33" t="inlineStr">
        <is>
          <t>2時間</t>
        </is>
      </c>
      <c r="O479" s="36" t="inlineStr"/>
      <c r="P479" s="36" t="inlineStr">
        <is>
          <t>父の育休プランの確定</t>
        </is>
      </c>
      <c r="Q479" s="38" t="inlineStr">
        <is>
          <t>未着手</t>
        </is>
      </c>
      <c r="R479" s="28" t="inlineStr"/>
    </row>
    <row r="480" outlineLevel="1">
      <c r="A480" s="39" t="inlineStr">
        <is>
          <t>P10-21-01</t>
        </is>
      </c>
      <c r="B480" s="39" t="inlineStr">
        <is>
          <t>P10</t>
        </is>
      </c>
      <c r="C480" s="22" t="inlineStr">
        <is>
          <t>関係</t>
        </is>
      </c>
      <c r="D480" s="39" t="n">
        <v>3</v>
      </c>
      <c r="E480" s="40" t="inlineStr">
        <is>
          <t>夜間の分担を時間で決める（例：21-2時／2-7時）</t>
        </is>
      </c>
      <c r="F480" s="24" t="inlineStr">
        <is>
          <t>時間割が決まっている</t>
        </is>
      </c>
      <c r="G480" s="24" t="inlineStr"/>
      <c r="H480" s="24" t="inlineStr"/>
      <c r="I480" s="24" t="inlineStr"/>
      <c r="J480" s="39" t="n">
        <v>36</v>
      </c>
      <c r="K480" s="41">
        <f>EDATE('はじめに'!$C$5,J480)</f>
        <v/>
      </c>
      <c r="L480" s="39" t="inlineStr">
        <is>
          <t>推奨</t>
        </is>
      </c>
      <c r="M480" s="39" t="inlineStr">
        <is>
          <t>2人</t>
        </is>
      </c>
      <c r="N480" s="39" t="inlineStr">
        <is>
          <t>30分</t>
        </is>
      </c>
      <c r="O480" s="24" t="inlineStr"/>
      <c r="P480" s="24" t="inlineStr"/>
      <c r="Q480" s="38" t="inlineStr">
        <is>
          <t>未着手</t>
        </is>
      </c>
      <c r="R480" s="28" t="inlineStr"/>
    </row>
    <row r="481" outlineLevel="1">
      <c r="A481" s="42" t="inlineStr">
        <is>
          <t>P10-21-02</t>
        </is>
      </c>
      <c r="B481" s="42" t="inlineStr">
        <is>
          <t>P10</t>
        </is>
      </c>
      <c r="C481" s="43" t="inlineStr">
        <is>
          <t>関係</t>
        </is>
      </c>
      <c r="D481" s="42" t="n">
        <v>3</v>
      </c>
      <c r="E481" s="44" t="inlineStr">
        <is>
          <t>産後の手続き（出生届・児童手当・保険証）の担当をパートナー側に寄せる</t>
        </is>
      </c>
      <c r="F481" s="45" t="inlineStr">
        <is>
          <t>担当が決まっている</t>
        </is>
      </c>
      <c r="G481" s="45" t="inlineStr"/>
      <c r="H481" s="45" t="inlineStr"/>
      <c r="I481" s="45" t="inlineStr"/>
      <c r="J481" s="42" t="n">
        <v>36</v>
      </c>
      <c r="K481" s="46">
        <f>EDATE('はじめに'!$C$5,J481)</f>
        <v/>
      </c>
      <c r="L481" s="42" t="inlineStr">
        <is>
          <t>推奨</t>
        </is>
      </c>
      <c r="M481" s="42" t="inlineStr">
        <is>
          <t>2人</t>
        </is>
      </c>
      <c r="N481" s="42" t="inlineStr">
        <is>
          <t>30分</t>
        </is>
      </c>
      <c r="O481" s="45" t="inlineStr"/>
      <c r="P481" s="45" t="inlineStr"/>
      <c r="Q481" s="38" t="inlineStr">
        <is>
          <t>未着手</t>
        </is>
      </c>
      <c r="R481" s="28" t="inlineStr"/>
    </row>
    <row r="482" outlineLevel="1">
      <c r="A482" s="39" t="inlineStr">
        <is>
          <t>P10-21-03</t>
        </is>
      </c>
      <c r="B482" s="39" t="inlineStr">
        <is>
          <t>P10</t>
        </is>
      </c>
      <c r="C482" s="22" t="inlineStr">
        <is>
          <t>関係</t>
        </is>
      </c>
      <c r="D482" s="39" t="n">
        <v>3</v>
      </c>
      <c r="E482" s="40" t="inlineStr">
        <is>
          <t>産後の体の状態（全治1〜2ヶ月の重傷）を2人で同じ資料で理解する</t>
        </is>
      </c>
      <c r="F482" s="24" t="inlineStr">
        <is>
          <t>共通認識ができている</t>
        </is>
      </c>
      <c r="G482" s="24" t="inlineStr"/>
      <c r="H482" s="24" t="inlineStr"/>
      <c r="I482" s="24" t="inlineStr"/>
      <c r="J482" s="39" t="n">
        <v>36</v>
      </c>
      <c r="K482" s="41">
        <f>EDATE('はじめに'!$C$5,J482)</f>
        <v/>
      </c>
      <c r="L482" s="39" t="inlineStr">
        <is>
          <t>推奨</t>
        </is>
      </c>
      <c r="M482" s="39" t="inlineStr">
        <is>
          <t>2人</t>
        </is>
      </c>
      <c r="N482" s="39" t="inlineStr">
        <is>
          <t>1時間</t>
        </is>
      </c>
      <c r="O482" s="24" t="inlineStr"/>
      <c r="P482" s="24" t="inlineStr"/>
      <c r="Q482" s="38" t="inlineStr">
        <is>
          <t>未着手</t>
        </is>
      </c>
      <c r="R482" s="28" t="inlineStr"/>
    </row>
    <row r="483" outlineLevel="1">
      <c r="A483" s="42" t="inlineStr">
        <is>
          <t>P10-21-04</t>
        </is>
      </c>
      <c r="B483" s="42" t="inlineStr">
        <is>
          <t>P10</t>
        </is>
      </c>
      <c r="C483" s="43" t="inlineStr">
        <is>
          <t>関係</t>
        </is>
      </c>
      <c r="D483" s="42" t="n">
        <v>3</v>
      </c>
      <c r="E483" s="44" t="inlineStr">
        <is>
          <t>産後うつの兆候と、受診の閾値を2人で共有する</t>
        </is>
      </c>
      <c r="F483" s="45" t="inlineStr">
        <is>
          <t>何が出たら受診かを2人が言える</t>
        </is>
      </c>
      <c r="G483" s="45" t="inlineStr"/>
      <c r="H483" s="45" t="inlineStr"/>
      <c r="I483" s="45" t="inlineStr"/>
      <c r="J483" s="42" t="n">
        <v>36</v>
      </c>
      <c r="K483" s="46">
        <f>EDATE('はじめに'!$C$5,J483)</f>
        <v/>
      </c>
      <c r="L483" s="42" t="inlineStr">
        <is>
          <t>推奨</t>
        </is>
      </c>
      <c r="M483" s="42" t="inlineStr">
        <is>
          <t>2人</t>
        </is>
      </c>
      <c r="N483" s="42" t="inlineStr">
        <is>
          <t>1時間</t>
        </is>
      </c>
      <c r="O483" s="45" t="inlineStr"/>
      <c r="P483" s="45" t="inlineStr"/>
      <c r="Q483" s="38" t="inlineStr">
        <is>
          <t>未着手</t>
        </is>
      </c>
      <c r="R483" s="28" t="inlineStr"/>
    </row>
    <row r="484">
      <c r="A484" s="33" t="inlineStr">
        <is>
          <t>P11-01</t>
        </is>
      </c>
      <c r="B484" s="33" t="inlineStr">
        <is>
          <t>P11</t>
        </is>
      </c>
      <c r="C484" s="34" t="inlineStr">
        <is>
          <t>出産</t>
        </is>
      </c>
      <c r="D484" s="33" t="n">
        <v>2</v>
      </c>
      <c r="E484" s="35" t="inlineStr">
        <is>
          <t>出産・入院</t>
        </is>
      </c>
      <c r="F484" s="36" t="inlineStr">
        <is>
          <t>出産が終わり、退院している</t>
        </is>
      </c>
      <c r="G484" s="36" t="inlineStr"/>
      <c r="H484" s="36" t="inlineStr"/>
      <c r="I484" s="36" t="inlineStr"/>
      <c r="J484" s="33" t="n">
        <v>37</v>
      </c>
      <c r="K484" s="37">
        <f>EDATE('はじめに'!$C$5,J484)</f>
        <v/>
      </c>
      <c r="L484" s="33" t="inlineStr">
        <is>
          <t>推奨</t>
        </is>
      </c>
      <c r="M484" s="33" t="inlineStr">
        <is>
          <t>妊娠する側</t>
        </is>
      </c>
      <c r="N484" s="33" t="inlineStr">
        <is>
          <t>5〜7日</t>
        </is>
      </c>
      <c r="O484" s="36" t="inlineStr">
        <is>
          <t>50〜70万円</t>
        </is>
      </c>
      <c r="P484" s="36" t="inlineStr">
        <is>
          <t>入院バッグの準備</t>
        </is>
      </c>
      <c r="Q484" s="38" t="inlineStr">
        <is>
          <t>未着手</t>
        </is>
      </c>
      <c r="R484" s="28" t="inlineStr"/>
    </row>
    <row r="485" outlineLevel="1">
      <c r="A485" s="42" t="inlineStr">
        <is>
          <t>P11-01-01</t>
        </is>
      </c>
      <c r="B485" s="42" t="inlineStr">
        <is>
          <t>P11</t>
        </is>
      </c>
      <c r="C485" s="43" t="inlineStr">
        <is>
          <t>出産</t>
        </is>
      </c>
      <c r="D485" s="42" t="n">
        <v>3</v>
      </c>
      <c r="E485" s="44" t="inlineStr">
        <is>
          <t>陣痛開始・産院へ連絡・入院</t>
        </is>
      </c>
      <c r="F485" s="45" t="inlineStr">
        <is>
          <t>入院している</t>
        </is>
      </c>
      <c r="G485" s="45" t="inlineStr"/>
      <c r="H485" s="45" t="inlineStr"/>
      <c r="I485" s="45" t="inlineStr"/>
      <c r="J485" s="42" t="n">
        <v>37</v>
      </c>
      <c r="K485" s="46">
        <f>EDATE('はじめに'!$C$5,J485)</f>
        <v/>
      </c>
      <c r="L485" s="42" t="inlineStr">
        <is>
          <t>推奨</t>
        </is>
      </c>
      <c r="M485" s="42" t="inlineStr">
        <is>
          <t>2人</t>
        </is>
      </c>
      <c r="N485" s="42" t="inlineStr">
        <is>
          <t>-</t>
        </is>
      </c>
      <c r="O485" s="45" t="inlineStr"/>
      <c r="P485" s="45" t="inlineStr"/>
      <c r="Q485" s="38" t="inlineStr">
        <is>
          <t>未着手</t>
        </is>
      </c>
      <c r="R485" s="28" t="inlineStr"/>
    </row>
    <row r="486" outlineLevel="1">
      <c r="A486" s="39" t="inlineStr">
        <is>
          <t>P11-01-02</t>
        </is>
      </c>
      <c r="B486" s="39" t="inlineStr">
        <is>
          <t>P11</t>
        </is>
      </c>
      <c r="C486" s="22" t="inlineStr">
        <is>
          <t>出産</t>
        </is>
      </c>
      <c r="D486" s="39" t="n">
        <v>3</v>
      </c>
      <c r="E486" s="40" t="inlineStr">
        <is>
          <t>出産</t>
        </is>
      </c>
      <c r="F486" s="24" t="inlineStr">
        <is>
          <t>出産完了</t>
        </is>
      </c>
      <c r="G486" s="24" t="inlineStr"/>
      <c r="H486" s="24" t="inlineStr"/>
      <c r="I486" s="24" t="inlineStr"/>
      <c r="J486" s="39" t="n">
        <v>37</v>
      </c>
      <c r="K486" s="41">
        <f>EDATE('はじめに'!$C$5,J486)</f>
        <v/>
      </c>
      <c r="L486" s="39" t="inlineStr">
        <is>
          <t>推奨</t>
        </is>
      </c>
      <c r="M486" s="39" t="inlineStr">
        <is>
          <t>妊娠する側</t>
        </is>
      </c>
      <c r="N486" s="39" t="inlineStr">
        <is>
          <t>-</t>
        </is>
      </c>
      <c r="O486" s="24" t="inlineStr"/>
      <c r="P486" s="24" t="inlineStr"/>
      <c r="Q486" s="38" t="inlineStr">
        <is>
          <t>未着手</t>
        </is>
      </c>
      <c r="R486" s="28" t="inlineStr"/>
    </row>
    <row r="487" outlineLevel="1">
      <c r="A487" s="42" t="inlineStr">
        <is>
          <t>P11-01-03</t>
        </is>
      </c>
      <c r="B487" s="42" t="inlineStr">
        <is>
          <t>P11</t>
        </is>
      </c>
      <c r="C487" s="43" t="inlineStr">
        <is>
          <t>出産</t>
        </is>
      </c>
      <c r="D487" s="42" t="n">
        <v>3</v>
      </c>
      <c r="E487" s="44" t="inlineStr">
        <is>
          <t>新生児の初期処置を確認する（K2シロップ・点眼・計測）</t>
        </is>
      </c>
      <c r="F487" s="45" t="inlineStr">
        <is>
          <t>実施を確認している</t>
        </is>
      </c>
      <c r="G487" s="45" t="inlineStr"/>
      <c r="H487" s="45" t="inlineStr"/>
      <c r="I487" s="45" t="inlineStr"/>
      <c r="J487" s="42" t="n">
        <v>37</v>
      </c>
      <c r="K487" s="46">
        <f>EDATE('はじめに'!$C$5,J487)</f>
        <v/>
      </c>
      <c r="L487" s="42" t="inlineStr">
        <is>
          <t>推奨</t>
        </is>
      </c>
      <c r="M487" s="42" t="inlineStr">
        <is>
          <t>2人</t>
        </is>
      </c>
      <c r="N487" s="42" t="inlineStr">
        <is>
          <t>-</t>
        </is>
      </c>
      <c r="O487" s="45" t="inlineStr"/>
      <c r="P487" s="45" t="inlineStr"/>
      <c r="Q487" s="38" t="inlineStr">
        <is>
          <t>未着手</t>
        </is>
      </c>
      <c r="R487" s="28" t="inlineStr"/>
    </row>
    <row r="488" outlineLevel="1">
      <c r="A488" s="39" t="inlineStr">
        <is>
          <t>P11-01-04</t>
        </is>
      </c>
      <c r="B488" s="39" t="inlineStr">
        <is>
          <t>P11</t>
        </is>
      </c>
      <c r="C488" s="22" t="inlineStr">
        <is>
          <t>出産</t>
        </is>
      </c>
      <c r="D488" s="39" t="n">
        <v>3</v>
      </c>
      <c r="E488" s="40" t="inlineStr">
        <is>
          <t>新生児聴覚スクリーニング検査を受ける</t>
        </is>
      </c>
      <c r="F488" s="24" t="inlineStr">
        <is>
          <t>結果を受け取っている</t>
        </is>
      </c>
      <c r="G488" s="24" t="inlineStr"/>
      <c r="H488" s="24" t="inlineStr"/>
      <c r="I488" s="24" t="inlineStr"/>
      <c r="J488" s="39" t="n">
        <v>37</v>
      </c>
      <c r="K488" s="41">
        <f>EDATE('はじめに'!$C$5,J488)</f>
        <v/>
      </c>
      <c r="L488" s="39" t="inlineStr">
        <is>
          <t>推奨</t>
        </is>
      </c>
      <c r="M488" s="39" t="inlineStr">
        <is>
          <t>2人</t>
        </is>
      </c>
      <c r="N488" s="39" t="inlineStr">
        <is>
          <t>-</t>
        </is>
      </c>
      <c r="O488" s="24" t="inlineStr"/>
      <c r="P488" s="24" t="inlineStr"/>
      <c r="Q488" s="38" t="inlineStr">
        <is>
          <t>未着手</t>
        </is>
      </c>
      <c r="R488" s="28" t="inlineStr"/>
    </row>
    <row r="489" outlineLevel="1">
      <c r="A489" s="42" t="inlineStr">
        <is>
          <t>P11-01-05</t>
        </is>
      </c>
      <c r="B489" s="42" t="inlineStr">
        <is>
          <t>P11</t>
        </is>
      </c>
      <c r="C489" s="43" t="inlineStr">
        <is>
          <t>出産</t>
        </is>
      </c>
      <c r="D489" s="42" t="n">
        <v>3</v>
      </c>
      <c r="E489" s="44" t="inlineStr">
        <is>
          <t>先天性代謝異常等検査（新生児マススクリーニング）を受ける</t>
        </is>
      </c>
      <c r="F489" s="45" t="inlineStr">
        <is>
          <t>実施済み</t>
        </is>
      </c>
      <c r="G489" s="45" t="inlineStr"/>
      <c r="H489" s="45" t="inlineStr"/>
      <c r="I489" s="45" t="inlineStr"/>
      <c r="J489" s="42" t="n">
        <v>37</v>
      </c>
      <c r="K489" s="46">
        <f>EDATE('はじめに'!$C$5,J489)</f>
        <v/>
      </c>
      <c r="L489" s="42" t="inlineStr">
        <is>
          <t>法定</t>
        </is>
      </c>
      <c r="M489" s="42" t="inlineStr">
        <is>
          <t>2人</t>
        </is>
      </c>
      <c r="N489" s="42" t="inlineStr">
        <is>
          <t>-</t>
        </is>
      </c>
      <c r="O489" s="45" t="inlineStr"/>
      <c r="P489" s="45" t="inlineStr"/>
      <c r="Q489" s="38" t="inlineStr">
        <is>
          <t>未着手</t>
        </is>
      </c>
      <c r="R489" s="28" t="inlineStr"/>
    </row>
    <row r="490" outlineLevel="1">
      <c r="A490" s="39" t="inlineStr">
        <is>
          <t>P11-01-06</t>
        </is>
      </c>
      <c r="B490" s="39" t="inlineStr">
        <is>
          <t>P11</t>
        </is>
      </c>
      <c r="C490" s="22" t="inlineStr">
        <is>
          <t>出産</t>
        </is>
      </c>
      <c r="D490" s="39" t="n">
        <v>3</v>
      </c>
      <c r="E490" s="40" t="inlineStr">
        <is>
          <t>入院中に授乳・沐浴・おむつ替え・げっぷを助産師から教わる（パートナーも参加）</t>
        </is>
      </c>
      <c r="F490" s="24" t="inlineStr">
        <is>
          <t>2人とも一通りできる</t>
        </is>
      </c>
      <c r="G490" s="24" t="inlineStr"/>
      <c r="H490" s="24" t="inlineStr"/>
      <c r="I490" s="24" t="inlineStr"/>
      <c r="J490" s="39" t="n">
        <v>37</v>
      </c>
      <c r="K490" s="41">
        <f>EDATE('はじめに'!$C$5,J490)</f>
        <v/>
      </c>
      <c r="L490" s="39" t="inlineStr">
        <is>
          <t>推奨</t>
        </is>
      </c>
      <c r="M490" s="39" t="inlineStr">
        <is>
          <t>2人</t>
        </is>
      </c>
      <c r="N490" s="39" t="inlineStr">
        <is>
          <t>-</t>
        </is>
      </c>
      <c r="O490" s="24" t="inlineStr"/>
      <c r="P490" s="24" t="inlineStr"/>
      <c r="Q490" s="38" t="inlineStr">
        <is>
          <t>未着手</t>
        </is>
      </c>
      <c r="R490" s="28" t="inlineStr"/>
    </row>
    <row r="491" outlineLevel="1">
      <c r="A491" s="42" t="inlineStr">
        <is>
          <t>P11-01-07</t>
        </is>
      </c>
      <c r="B491" s="42" t="inlineStr">
        <is>
          <t>P11</t>
        </is>
      </c>
      <c r="C491" s="43" t="inlineStr">
        <is>
          <t>出産</t>
        </is>
      </c>
      <c r="D491" s="42" t="n">
        <v>3</v>
      </c>
      <c r="E491" s="44" t="inlineStr">
        <is>
          <t>出生証明書（出生届と一体）を受け取り、コピーを取る</t>
        </is>
      </c>
      <c r="F491" s="45" t="inlineStr">
        <is>
          <t>原本とコピーが手元にある</t>
        </is>
      </c>
      <c r="G491" s="45" t="inlineStr"/>
      <c r="H491" s="45" t="inlineStr"/>
      <c r="I491" s="45" t="inlineStr"/>
      <c r="J491" s="42" t="n">
        <v>37</v>
      </c>
      <c r="K491" s="46">
        <f>EDATE('はじめに'!$C$5,J491)</f>
        <v/>
      </c>
      <c r="L491" s="42" t="inlineStr">
        <is>
          <t>法定</t>
        </is>
      </c>
      <c r="M491" s="42" t="inlineStr">
        <is>
          <t>パートナー</t>
        </is>
      </c>
      <c r="N491" s="42" t="inlineStr">
        <is>
          <t>15分</t>
        </is>
      </c>
      <c r="O491" s="45" t="inlineStr"/>
      <c r="P491" s="45" t="inlineStr"/>
      <c r="Q491" s="38" t="inlineStr">
        <is>
          <t>未着手</t>
        </is>
      </c>
      <c r="R491" s="28" t="inlineStr"/>
    </row>
    <row r="492" outlineLevel="1">
      <c r="A492" s="39" t="inlineStr">
        <is>
          <t>P11-01-08</t>
        </is>
      </c>
      <c r="B492" s="39" t="inlineStr">
        <is>
          <t>P11</t>
        </is>
      </c>
      <c r="C492" s="22" t="inlineStr">
        <is>
          <t>出産</t>
        </is>
      </c>
      <c r="D492" s="39" t="n">
        <v>3</v>
      </c>
      <c r="E492" s="40" t="inlineStr">
        <is>
          <t>出産費用を精算する（一時金50万円との差額）。領収書は医療費控除用に全部保管</t>
        </is>
      </c>
      <c r="F492" s="24" t="inlineStr">
        <is>
          <t>精算完了・領収書保管済み</t>
        </is>
      </c>
      <c r="G492" s="24" t="inlineStr"/>
      <c r="H492" s="24" t="inlineStr"/>
      <c r="I492" s="24" t="inlineStr"/>
      <c r="J492" s="39" t="n">
        <v>38</v>
      </c>
      <c r="K492" s="41">
        <f>EDATE('はじめに'!$C$5,J492)</f>
        <v/>
      </c>
      <c r="L492" s="39" t="inlineStr">
        <is>
          <t>推奨</t>
        </is>
      </c>
      <c r="M492" s="39" t="inlineStr">
        <is>
          <t>2人</t>
        </is>
      </c>
      <c r="N492" s="39" t="inlineStr">
        <is>
          <t>1時間</t>
        </is>
      </c>
      <c r="O492" s="24" t="inlineStr"/>
      <c r="P492" s="24" t="inlineStr"/>
      <c r="Q492" s="38" t="inlineStr">
        <is>
          <t>未着手</t>
        </is>
      </c>
      <c r="R492" s="28" t="inlineStr"/>
    </row>
    <row r="493" outlineLevel="1">
      <c r="A493" s="42" t="inlineStr">
        <is>
          <t>P11-01-09</t>
        </is>
      </c>
      <c r="B493" s="42" t="inlineStr">
        <is>
          <t>P11</t>
        </is>
      </c>
      <c r="C493" s="43" t="inlineStr">
        <is>
          <t>出産</t>
        </is>
      </c>
      <c r="D493" s="42" t="n">
        <v>3</v>
      </c>
      <c r="E493" s="44" t="inlineStr">
        <is>
          <t>退院（チャイルドシートを装着して帰宅）</t>
        </is>
      </c>
      <c r="F493" s="45" t="inlineStr">
        <is>
          <t>帰宅している</t>
        </is>
      </c>
      <c r="G493" s="45" t="inlineStr"/>
      <c r="H493" s="45" t="inlineStr"/>
      <c r="I493" s="45" t="inlineStr"/>
      <c r="J493" s="42" t="n">
        <v>38</v>
      </c>
      <c r="K493" s="46">
        <f>EDATE('はじめに'!$C$5,J493)</f>
        <v/>
      </c>
      <c r="L493" s="42" t="inlineStr">
        <is>
          <t>推奨</t>
        </is>
      </c>
      <c r="M493" s="42" t="inlineStr">
        <is>
          <t>2人</t>
        </is>
      </c>
      <c r="N493" s="42" t="inlineStr">
        <is>
          <t>半日</t>
        </is>
      </c>
      <c r="O493" s="45" t="inlineStr"/>
      <c r="P493" s="45" t="inlineStr"/>
      <c r="Q493" s="38" t="inlineStr">
        <is>
          <t>未着手</t>
        </is>
      </c>
      <c r="R493" s="28" t="inlineStr"/>
    </row>
    <row r="494">
      <c r="A494" s="33" t="inlineStr">
        <is>
          <t>P11-02</t>
        </is>
      </c>
      <c r="B494" s="33" t="inlineStr">
        <is>
          <t>P11</t>
        </is>
      </c>
      <c r="C494" s="34" t="inlineStr">
        <is>
          <t>手続き</t>
        </is>
      </c>
      <c r="D494" s="33" t="n">
        <v>2</v>
      </c>
      <c r="E494" s="35" t="inlineStr">
        <is>
          <t>出生届と同時にできる行政手続きを1回で終わらせる</t>
        </is>
      </c>
      <c r="F494" s="36" t="inlineStr">
        <is>
          <t>出生届・児童手当・乳幼児医療・出生連絡票が全部済んでいる</t>
        </is>
      </c>
      <c r="G494" s="36" t="inlineStr">
        <is>
          <t>誰がいつ行くか、何を一度に済ませるか</t>
        </is>
      </c>
      <c r="H494" s="36" t="inlineStr"/>
      <c r="I494" s="36" t="inlineStr">
        <is>
          <t>出生届を出した日に児童手当・乳幼児医療の申請も同時にできる自治体が多い。書類は妊娠後期に記入できる欄を埋めておくと、産後の消耗した状態でも回る</t>
        </is>
      </c>
      <c r="J494" s="33" t="n">
        <v>37</v>
      </c>
      <c r="K494" s="37">
        <f>EDATE('はじめに'!$C$5,J494)</f>
        <v/>
      </c>
      <c r="L494" s="33" t="inlineStr">
        <is>
          <t>法定</t>
        </is>
      </c>
      <c r="M494" s="33" t="inlineStr">
        <is>
          <t>パートナー</t>
        </is>
      </c>
      <c r="N494" s="33" t="inlineStr">
        <is>
          <t>1日</t>
        </is>
      </c>
      <c r="O494" s="36" t="inlineStr"/>
      <c r="P494" s="36" t="inlineStr">
        <is>
          <t>出生証明書の受取</t>
        </is>
      </c>
      <c r="Q494" s="38" t="inlineStr">
        <is>
          <t>未着手</t>
        </is>
      </c>
      <c r="R494" s="28" t="inlineStr"/>
    </row>
    <row r="495" outlineLevel="1">
      <c r="A495" s="42" t="inlineStr">
        <is>
          <t>P11-02-01</t>
        </is>
      </c>
      <c r="B495" s="42" t="inlineStr">
        <is>
          <t>P11</t>
        </is>
      </c>
      <c r="C495" s="43" t="inlineStr">
        <is>
          <t>手続き</t>
        </is>
      </c>
      <c r="D495" s="42" t="n">
        <v>3</v>
      </c>
      <c r="E495" s="44" t="inlineStr">
        <is>
          <t>出生届を提出する（出生日を含めて14日以内）</t>
        </is>
      </c>
      <c r="F495" s="45" t="inlineStr">
        <is>
          <t>受理されている</t>
        </is>
      </c>
      <c r="G495" s="45" t="inlineStr"/>
      <c r="H495" s="45" t="inlineStr"/>
      <c r="I495" s="45" t="inlineStr"/>
      <c r="J495" s="42" t="n">
        <v>37</v>
      </c>
      <c r="K495" s="46">
        <f>EDATE('はじめに'!$C$5,J495)</f>
        <v/>
      </c>
      <c r="L495" s="42" t="inlineStr">
        <is>
          <t>法定</t>
        </is>
      </c>
      <c r="M495" s="42" t="inlineStr">
        <is>
          <t>パートナー</t>
        </is>
      </c>
      <c r="N495" s="42" t="inlineStr">
        <is>
          <t>2時間</t>
        </is>
      </c>
      <c r="O495" s="45" t="inlineStr"/>
      <c r="P495" s="45" t="inlineStr"/>
      <c r="Q495" s="38" t="inlineStr">
        <is>
          <t>未着手</t>
        </is>
      </c>
      <c r="R495" s="28" t="inlineStr"/>
    </row>
    <row r="496" outlineLevel="1">
      <c r="A496" s="39" t="inlineStr">
        <is>
          <t>P11-02-02</t>
        </is>
      </c>
      <c r="B496" s="39" t="inlineStr">
        <is>
          <t>P11</t>
        </is>
      </c>
      <c r="C496" s="22" t="inlineStr">
        <is>
          <t>手続き</t>
        </is>
      </c>
      <c r="D496" s="39" t="n">
        <v>3</v>
      </c>
      <c r="E496" s="40" t="inlineStr">
        <is>
          <t>児童手当の認定請求を出す（出生日の翌日から15日以内）</t>
        </is>
      </c>
      <c r="F496" s="24" t="inlineStr">
        <is>
          <t>受理されている</t>
        </is>
      </c>
      <c r="G496" s="24" t="inlineStr"/>
      <c r="H496" s="24" t="inlineStr"/>
      <c r="I496" s="24" t="inlineStr"/>
      <c r="J496" s="39" t="n">
        <v>37</v>
      </c>
      <c r="K496" s="41">
        <f>EDATE('はじめに'!$C$5,J496)</f>
        <v/>
      </c>
      <c r="L496" s="39" t="inlineStr">
        <is>
          <t>法定</t>
        </is>
      </c>
      <c r="M496" s="39" t="inlineStr">
        <is>
          <t>パートナー</t>
        </is>
      </c>
      <c r="N496" s="39" t="inlineStr">
        <is>
          <t>30分</t>
        </is>
      </c>
      <c r="O496" s="24" t="inlineStr"/>
      <c r="P496" s="24" t="inlineStr"/>
      <c r="Q496" s="38" t="inlineStr">
        <is>
          <t>未着手</t>
        </is>
      </c>
      <c r="R496" s="28" t="inlineStr"/>
    </row>
    <row r="497" outlineLevel="1">
      <c r="A497" s="42" t="inlineStr">
        <is>
          <t>P11-02-03</t>
        </is>
      </c>
      <c r="B497" s="42" t="inlineStr">
        <is>
          <t>P11</t>
        </is>
      </c>
      <c r="C497" s="43" t="inlineStr">
        <is>
          <t>手続き</t>
        </is>
      </c>
      <c r="D497" s="42" t="n">
        <v>3</v>
      </c>
      <c r="E497" s="44" t="inlineStr">
        <is>
          <t>出生連絡票／新生児訪問の依頼を出す</t>
        </is>
      </c>
      <c r="F497" s="45" t="inlineStr">
        <is>
          <t>提出済み</t>
        </is>
      </c>
      <c r="G497" s="45" t="inlineStr"/>
      <c r="H497" s="45" t="inlineStr"/>
      <c r="I497" s="45" t="inlineStr"/>
      <c r="J497" s="42" t="n">
        <v>37</v>
      </c>
      <c r="K497" s="46">
        <f>EDATE('はじめに'!$C$5,J497)</f>
        <v/>
      </c>
      <c r="L497" s="42" t="inlineStr">
        <is>
          <t>推奨</t>
        </is>
      </c>
      <c r="M497" s="42" t="inlineStr">
        <is>
          <t>パートナー</t>
        </is>
      </c>
      <c r="N497" s="42" t="inlineStr">
        <is>
          <t>15分</t>
        </is>
      </c>
      <c r="O497" s="45" t="inlineStr"/>
      <c r="P497" s="45" t="inlineStr"/>
      <c r="Q497" s="38" t="inlineStr">
        <is>
          <t>未着手</t>
        </is>
      </c>
      <c r="R497" s="28" t="inlineStr"/>
    </row>
    <row r="498" outlineLevel="1">
      <c r="A498" s="39" t="inlineStr">
        <is>
          <t>P11-02-04</t>
        </is>
      </c>
      <c r="B498" s="39" t="inlineStr">
        <is>
          <t>P11</t>
        </is>
      </c>
      <c r="C498" s="22" t="inlineStr">
        <is>
          <t>手続き</t>
        </is>
      </c>
      <c r="D498" s="39" t="n">
        <v>3</v>
      </c>
      <c r="E498" s="40" t="inlineStr">
        <is>
          <t>母子手帳に出生届出済証明を記入してもらう</t>
        </is>
      </c>
      <c r="F498" s="24" t="inlineStr">
        <is>
          <t>記入済み</t>
        </is>
      </c>
      <c r="G498" s="24" t="inlineStr"/>
      <c r="H498" s="24" t="inlineStr"/>
      <c r="I498" s="24" t="inlineStr"/>
      <c r="J498" s="39" t="n">
        <v>37</v>
      </c>
      <c r="K498" s="41">
        <f>EDATE('はじめに'!$C$5,J498)</f>
        <v/>
      </c>
      <c r="L498" s="39" t="inlineStr">
        <is>
          <t>法定</t>
        </is>
      </c>
      <c r="M498" s="39" t="inlineStr">
        <is>
          <t>パートナー</t>
        </is>
      </c>
      <c r="N498" s="39" t="inlineStr">
        <is>
          <t>15分</t>
        </is>
      </c>
      <c r="O498" s="24" t="inlineStr"/>
      <c r="P498" s="24" t="inlineStr"/>
      <c r="Q498" s="38" t="inlineStr">
        <is>
          <t>未着手</t>
        </is>
      </c>
      <c r="R498" s="28" t="inlineStr"/>
    </row>
    <row r="499" outlineLevel="1">
      <c r="A499" s="42" t="inlineStr">
        <is>
          <t>P11-02-05</t>
        </is>
      </c>
      <c r="B499" s="42" t="inlineStr">
        <is>
          <t>P11</t>
        </is>
      </c>
      <c r="C499" s="43" t="inlineStr">
        <is>
          <t>手続き</t>
        </is>
      </c>
      <c r="D499" s="42" t="n">
        <v>3</v>
      </c>
      <c r="E499" s="44" t="inlineStr">
        <is>
          <t>低体重児出生届を出す（2500g未満の場合、14日以内）</t>
        </is>
      </c>
      <c r="F499" s="45" t="inlineStr">
        <is>
          <t>該当時は提出済み</t>
        </is>
      </c>
      <c r="G499" s="45" t="inlineStr"/>
      <c r="H499" s="45" t="inlineStr"/>
      <c r="I499" s="45" t="inlineStr"/>
      <c r="J499" s="42" t="n">
        <v>37</v>
      </c>
      <c r="K499" s="46">
        <f>EDATE('はじめに'!$C$5,J499)</f>
        <v/>
      </c>
      <c r="L499" s="42" t="inlineStr">
        <is>
          <t>法定</t>
        </is>
      </c>
      <c r="M499" s="42" t="inlineStr">
        <is>
          <t>パートナー</t>
        </is>
      </c>
      <c r="N499" s="42" t="inlineStr">
        <is>
          <t>30分</t>
        </is>
      </c>
      <c r="O499" s="45" t="inlineStr"/>
      <c r="P499" s="45" t="inlineStr"/>
      <c r="Q499" s="38" t="inlineStr">
        <is>
          <t>未着手</t>
        </is>
      </c>
      <c r="R499" s="28" t="inlineStr"/>
    </row>
    <row r="500" outlineLevel="1">
      <c r="A500" s="39" t="inlineStr">
        <is>
          <t>P11-02-06</t>
        </is>
      </c>
      <c r="B500" s="39" t="inlineStr">
        <is>
          <t>P11</t>
        </is>
      </c>
      <c r="C500" s="22" t="inlineStr">
        <is>
          <t>手続き</t>
        </is>
      </c>
      <c r="D500" s="39" t="n">
        <v>3</v>
      </c>
      <c r="E500" s="40" t="inlineStr">
        <is>
          <t>自治体の出産祝い金・紙おむつ券・ごみ袋支給などを申請する</t>
        </is>
      </c>
      <c r="F500" s="24" t="inlineStr">
        <is>
          <t>使える制度を全部申請済み</t>
        </is>
      </c>
      <c r="G500" s="24" t="inlineStr"/>
      <c r="H500" s="24" t="inlineStr"/>
      <c r="I500" s="24" t="inlineStr"/>
      <c r="J500" s="39" t="n">
        <v>37</v>
      </c>
      <c r="K500" s="41">
        <f>EDATE('はじめに'!$C$5,J500)</f>
        <v/>
      </c>
      <c r="L500" s="39" t="inlineStr">
        <is>
          <t>任意</t>
        </is>
      </c>
      <c r="M500" s="39" t="inlineStr">
        <is>
          <t>パートナー</t>
        </is>
      </c>
      <c r="N500" s="39" t="inlineStr">
        <is>
          <t>30分</t>
        </is>
      </c>
      <c r="O500" s="24" t="inlineStr"/>
      <c r="P500" s="24" t="inlineStr"/>
      <c r="Q500" s="38" t="inlineStr">
        <is>
          <t>未着手</t>
        </is>
      </c>
      <c r="R500" s="28" t="inlineStr"/>
    </row>
    <row r="501" outlineLevel="1">
      <c r="A501" s="42" t="inlineStr">
        <is>
          <t>P11-02-07</t>
        </is>
      </c>
      <c r="B501" s="42" t="inlineStr">
        <is>
          <t>P11</t>
        </is>
      </c>
      <c r="C501" s="43" t="inlineStr">
        <is>
          <t>手続き</t>
        </is>
      </c>
      <c r="D501" s="42" t="n">
        <v>3</v>
      </c>
      <c r="E501" s="44" t="inlineStr">
        <is>
          <t>1〜2週間後に住民票・戸籍謄本を必要枚数取得する</t>
        </is>
      </c>
      <c r="F501" s="45" t="inlineStr">
        <is>
          <t>会社提出用が揃っている</t>
        </is>
      </c>
      <c r="G501" s="45" t="inlineStr"/>
      <c r="H501" s="45" t="inlineStr"/>
      <c r="I501" s="45" t="inlineStr"/>
      <c r="J501" s="42" t="n">
        <v>38</v>
      </c>
      <c r="K501" s="46">
        <f>EDATE('はじめに'!$C$5,J501)</f>
        <v/>
      </c>
      <c r="L501" s="42" t="inlineStr">
        <is>
          <t>推奨</t>
        </is>
      </c>
      <c r="M501" s="42" t="inlineStr">
        <is>
          <t>パートナー</t>
        </is>
      </c>
      <c r="N501" s="42" t="inlineStr">
        <is>
          <t>1時間</t>
        </is>
      </c>
      <c r="O501" s="45" t="inlineStr"/>
      <c r="P501" s="45" t="inlineStr"/>
      <c r="Q501" s="38" t="inlineStr">
        <is>
          <t>未着手</t>
        </is>
      </c>
      <c r="R501" s="28" t="inlineStr"/>
    </row>
    <row r="502">
      <c r="A502" s="33" t="inlineStr">
        <is>
          <t>P11-03</t>
        </is>
      </c>
      <c r="B502" s="33" t="inlineStr">
        <is>
          <t>P11</t>
        </is>
      </c>
      <c r="C502" s="34" t="inlineStr">
        <is>
          <t>手続き</t>
        </is>
      </c>
      <c r="D502" s="33" t="n">
        <v>2</v>
      </c>
      <c r="E502" s="35" t="inlineStr">
        <is>
          <t>健康保険と医療証を取得する</t>
        </is>
      </c>
      <c r="F502" s="36" t="inlineStr">
        <is>
          <t>子の保険証と乳幼児医療証が手元にある</t>
        </is>
      </c>
      <c r="G502" s="36" t="inlineStr">
        <is>
          <t>どちらの扶養に入れるか</t>
        </is>
      </c>
      <c r="H502" s="36" t="inlineStr">
        <is>
          <t>パートナーの社保／妊娠する側の社保／国保</t>
        </is>
      </c>
      <c r="I502" s="36" t="inlineStr">
        <is>
          <t>1ヶ月健診までに保険証が要る。原則は収入が多い方の扶養。国保は14日以内。医療証が届くまでの受診分は領収書を保管して後日償還払い</t>
        </is>
      </c>
      <c r="J502" s="33" t="n">
        <v>37</v>
      </c>
      <c r="K502" s="37">
        <f>EDATE('はじめに'!$C$5,J502)</f>
        <v/>
      </c>
      <c r="L502" s="33" t="inlineStr">
        <is>
          <t>法定</t>
        </is>
      </c>
      <c r="M502" s="33" t="inlineStr">
        <is>
          <t>2人</t>
        </is>
      </c>
      <c r="N502" s="33" t="inlineStr">
        <is>
          <t>2〜3週間</t>
        </is>
      </c>
      <c r="O502" s="36" t="inlineStr"/>
      <c r="P502" s="36" t="inlineStr">
        <is>
          <t>出生届の提出</t>
        </is>
      </c>
      <c r="Q502" s="38" t="inlineStr">
        <is>
          <t>未着手</t>
        </is>
      </c>
      <c r="R502" s="28" t="inlineStr"/>
    </row>
    <row r="503" outlineLevel="1">
      <c r="A503" s="42" t="inlineStr">
        <is>
          <t>P11-03-01</t>
        </is>
      </c>
      <c r="B503" s="42" t="inlineStr">
        <is>
          <t>P11</t>
        </is>
      </c>
      <c r="C503" s="43" t="inlineStr">
        <is>
          <t>手続き</t>
        </is>
      </c>
      <c r="D503" s="42" t="n">
        <v>3</v>
      </c>
      <c r="E503" s="44" t="inlineStr">
        <is>
          <t>どちらの扶養に入れるか決める</t>
        </is>
      </c>
      <c r="F503" s="45" t="inlineStr">
        <is>
          <t>決まっている</t>
        </is>
      </c>
      <c r="G503" s="45" t="inlineStr"/>
      <c r="H503" s="45" t="inlineStr"/>
      <c r="I503" s="45" t="inlineStr"/>
      <c r="J503" s="42" t="n">
        <v>37</v>
      </c>
      <c r="K503" s="46">
        <f>EDATE('はじめに'!$C$5,J503)</f>
        <v/>
      </c>
      <c r="L503" s="42" t="inlineStr">
        <is>
          <t>推奨</t>
        </is>
      </c>
      <c r="M503" s="42" t="inlineStr">
        <is>
          <t>2人</t>
        </is>
      </c>
      <c r="N503" s="42" t="inlineStr">
        <is>
          <t>30分</t>
        </is>
      </c>
      <c r="O503" s="45" t="inlineStr"/>
      <c r="P503" s="45" t="inlineStr"/>
      <c r="Q503" s="38" t="inlineStr">
        <is>
          <t>未着手</t>
        </is>
      </c>
      <c r="R503" s="28" t="inlineStr"/>
    </row>
    <row r="504" outlineLevel="1">
      <c r="A504" s="39" t="inlineStr">
        <is>
          <t>P11-03-02</t>
        </is>
      </c>
      <c r="B504" s="39" t="inlineStr">
        <is>
          <t>P11</t>
        </is>
      </c>
      <c r="C504" s="22" t="inlineStr">
        <is>
          <t>手続き</t>
        </is>
      </c>
      <c r="D504" s="39" t="n">
        <v>3</v>
      </c>
      <c r="E504" s="40" t="inlineStr">
        <is>
          <t>勤務先に扶養追加を申請する（国保の場合は役所に14日以内）</t>
        </is>
      </c>
      <c r="F504" s="24" t="inlineStr">
        <is>
          <t>申請済み</t>
        </is>
      </c>
      <c r="G504" s="24" t="inlineStr"/>
      <c r="H504" s="24" t="inlineStr"/>
      <c r="I504" s="24" t="inlineStr"/>
      <c r="J504" s="39" t="n">
        <v>37</v>
      </c>
      <c r="K504" s="41">
        <f>EDATE('はじめに'!$C$5,J504)</f>
        <v/>
      </c>
      <c r="L504" s="39" t="inlineStr">
        <is>
          <t>法定</t>
        </is>
      </c>
      <c r="M504" s="39" t="inlineStr">
        <is>
          <t>どちらか</t>
        </is>
      </c>
      <c r="N504" s="39" t="inlineStr">
        <is>
          <t>1時間</t>
        </is>
      </c>
      <c r="O504" s="24" t="inlineStr"/>
      <c r="P504" s="24" t="inlineStr"/>
      <c r="Q504" s="38" t="inlineStr">
        <is>
          <t>未着手</t>
        </is>
      </c>
      <c r="R504" s="28" t="inlineStr"/>
    </row>
    <row r="505" outlineLevel="1">
      <c r="A505" s="42" t="inlineStr">
        <is>
          <t>P11-03-03</t>
        </is>
      </c>
      <c r="B505" s="42" t="inlineStr">
        <is>
          <t>P11</t>
        </is>
      </c>
      <c r="C505" s="43" t="inlineStr">
        <is>
          <t>手続き</t>
        </is>
      </c>
      <c r="D505" s="42" t="n">
        <v>3</v>
      </c>
      <c r="E505" s="44" t="inlineStr">
        <is>
          <t>保険証を受け取る（マイナ保険証の利用登録も）</t>
        </is>
      </c>
      <c r="F505" s="45" t="inlineStr">
        <is>
          <t>保険証がある</t>
        </is>
      </c>
      <c r="G505" s="45" t="inlineStr"/>
      <c r="H505" s="45" t="inlineStr"/>
      <c r="I505" s="45" t="inlineStr"/>
      <c r="J505" s="42" t="n">
        <v>38</v>
      </c>
      <c r="K505" s="46">
        <f>EDATE('はじめに'!$C$5,J505)</f>
        <v/>
      </c>
      <c r="L505" s="42" t="inlineStr">
        <is>
          <t>法定</t>
        </is>
      </c>
      <c r="M505" s="42" t="inlineStr">
        <is>
          <t>どちらか</t>
        </is>
      </c>
      <c r="N505" s="42" t="inlineStr">
        <is>
          <t>-</t>
        </is>
      </c>
      <c r="O505" s="45" t="inlineStr"/>
      <c r="P505" s="45" t="inlineStr"/>
      <c r="Q505" s="38" t="inlineStr">
        <is>
          <t>未着手</t>
        </is>
      </c>
      <c r="R505" s="28" t="inlineStr"/>
    </row>
    <row r="506" outlineLevel="1">
      <c r="A506" s="39" t="inlineStr">
        <is>
          <t>P11-03-04</t>
        </is>
      </c>
      <c r="B506" s="39" t="inlineStr">
        <is>
          <t>P11</t>
        </is>
      </c>
      <c r="C506" s="22" t="inlineStr">
        <is>
          <t>手続き</t>
        </is>
      </c>
      <c r="D506" s="39" t="n">
        <v>3</v>
      </c>
      <c r="E506" s="40" t="inlineStr">
        <is>
          <t>乳幼児医療費助成（医療証）を申請する</t>
        </is>
      </c>
      <c r="F506" s="24" t="inlineStr">
        <is>
          <t>医療証がある</t>
        </is>
      </c>
      <c r="G506" s="24" t="inlineStr"/>
      <c r="H506" s="24" t="inlineStr"/>
      <c r="I506" s="24" t="inlineStr"/>
      <c r="J506" s="39" t="n">
        <v>38</v>
      </c>
      <c r="K506" s="41">
        <f>EDATE('はじめに'!$C$5,J506)</f>
        <v/>
      </c>
      <c r="L506" s="39" t="inlineStr">
        <is>
          <t>法定</t>
        </is>
      </c>
      <c r="M506" s="39" t="inlineStr">
        <is>
          <t>パートナー</t>
        </is>
      </c>
      <c r="N506" s="39" t="inlineStr">
        <is>
          <t>1時間</t>
        </is>
      </c>
      <c r="O506" s="24" t="inlineStr"/>
      <c r="P506" s="24" t="inlineStr"/>
      <c r="Q506" s="38" t="inlineStr">
        <is>
          <t>未着手</t>
        </is>
      </c>
      <c r="R506" s="28" t="inlineStr"/>
    </row>
    <row r="507" outlineLevel="1">
      <c r="A507" s="42" t="inlineStr">
        <is>
          <t>P11-03-05</t>
        </is>
      </c>
      <c r="B507" s="42" t="inlineStr">
        <is>
          <t>P11</t>
        </is>
      </c>
      <c r="C507" s="43" t="inlineStr">
        <is>
          <t>手続き</t>
        </is>
      </c>
      <c r="D507" s="42" t="n">
        <v>3</v>
      </c>
      <c r="E507" s="44" t="inlineStr">
        <is>
          <t>子のマイナンバーカードを申請する（1歳未満は顔写真不要）＋公金受取口座の登録</t>
        </is>
      </c>
      <c r="F507" s="45" t="inlineStr">
        <is>
          <t>申請済み</t>
        </is>
      </c>
      <c r="G507" s="45" t="inlineStr"/>
      <c r="H507" s="45" t="inlineStr"/>
      <c r="I507" s="45" t="inlineStr"/>
      <c r="J507" s="42" t="n">
        <v>38</v>
      </c>
      <c r="K507" s="46">
        <f>EDATE('はじめに'!$C$5,J507)</f>
        <v/>
      </c>
      <c r="L507" s="42" t="inlineStr">
        <is>
          <t>任意</t>
        </is>
      </c>
      <c r="M507" s="42" t="inlineStr">
        <is>
          <t>パートナー</t>
        </is>
      </c>
      <c r="N507" s="42" t="inlineStr">
        <is>
          <t>1時間</t>
        </is>
      </c>
      <c r="O507" s="45" t="inlineStr"/>
      <c r="P507" s="45" t="inlineStr"/>
      <c r="Q507" s="38" t="inlineStr">
        <is>
          <t>未着手</t>
        </is>
      </c>
      <c r="R507" s="28" t="inlineStr"/>
    </row>
    <row r="508">
      <c r="A508" s="33" t="inlineStr">
        <is>
          <t>P11-04</t>
        </is>
      </c>
      <c r="B508" s="33" t="inlineStr">
        <is>
          <t>P11</t>
        </is>
      </c>
      <c r="C508" s="34" t="inlineStr">
        <is>
          <t>お金</t>
        </is>
      </c>
      <c r="D508" s="33" t="n">
        <v>2</v>
      </c>
      <c r="E508" s="35" t="inlineStr">
        <is>
          <t>給付金・手当の申請を完了する</t>
        </is>
      </c>
      <c r="F508" s="36" t="inlineStr">
        <is>
          <t>申請漏れがなく、入金予定が分かっている</t>
        </is>
      </c>
      <c r="G508" s="36" t="inlineStr"/>
      <c r="H508" s="36" t="inlineStr"/>
      <c r="I508" s="36" t="inlineStr"/>
      <c r="J508" s="33" t="n">
        <v>38</v>
      </c>
      <c r="K508" s="37">
        <f>EDATE('はじめに'!$C$5,J508)</f>
        <v/>
      </c>
      <c r="L508" s="33" t="inlineStr">
        <is>
          <t>法定</t>
        </is>
      </c>
      <c r="M508" s="33" t="inlineStr">
        <is>
          <t>2人</t>
        </is>
      </c>
      <c r="N508" s="33" t="inlineStr">
        <is>
          <t>1ヶ月</t>
        </is>
      </c>
      <c r="O508" s="36" t="inlineStr"/>
      <c r="P508" s="36" t="inlineStr">
        <is>
          <t>健康保険の加入</t>
        </is>
      </c>
      <c r="Q508" s="38" t="inlineStr">
        <is>
          <t>未着手</t>
        </is>
      </c>
      <c r="R508" s="28" t="inlineStr"/>
    </row>
    <row r="509" outlineLevel="1">
      <c r="A509" s="42" t="inlineStr">
        <is>
          <t>P11-04-01</t>
        </is>
      </c>
      <c r="B509" s="42" t="inlineStr">
        <is>
          <t>P11</t>
        </is>
      </c>
      <c r="C509" s="43" t="inlineStr">
        <is>
          <t>お金</t>
        </is>
      </c>
      <c r="D509" s="42" t="n">
        <v>3</v>
      </c>
      <c r="E509" s="44" t="inlineStr">
        <is>
          <t>出産育児一時金の差額を申請する（直接支払で50万円未満だった場合）</t>
        </is>
      </c>
      <c r="F509" s="45" t="inlineStr">
        <is>
          <t>申請済み</t>
        </is>
      </c>
      <c r="G509" s="45" t="inlineStr"/>
      <c r="H509" s="45" t="inlineStr"/>
      <c r="I509" s="45" t="inlineStr"/>
      <c r="J509" s="42" t="n">
        <v>38</v>
      </c>
      <c r="K509" s="46">
        <f>EDATE('はじめに'!$C$5,J509)</f>
        <v/>
      </c>
      <c r="L509" s="42" t="inlineStr">
        <is>
          <t>推奨</t>
        </is>
      </c>
      <c r="M509" s="42" t="inlineStr">
        <is>
          <t>妊娠する側</t>
        </is>
      </c>
      <c r="N509" s="42" t="inlineStr">
        <is>
          <t>30分</t>
        </is>
      </c>
      <c r="O509" s="45" t="inlineStr"/>
      <c r="P509" s="45" t="inlineStr"/>
      <c r="Q509" s="38" t="inlineStr">
        <is>
          <t>未着手</t>
        </is>
      </c>
      <c r="R509" s="28" t="inlineStr"/>
    </row>
    <row r="510" outlineLevel="1">
      <c r="A510" s="39" t="inlineStr">
        <is>
          <t>P11-04-02</t>
        </is>
      </c>
      <c r="B510" s="39" t="inlineStr">
        <is>
          <t>P11</t>
        </is>
      </c>
      <c r="C510" s="22" t="inlineStr">
        <is>
          <t>お金</t>
        </is>
      </c>
      <c r="D510" s="39" t="n">
        <v>3</v>
      </c>
      <c r="E510" s="40" t="inlineStr">
        <is>
          <t>出産手当金を申請する（産後56日経過後、会社経由）</t>
        </is>
      </c>
      <c r="F510" s="24" t="inlineStr">
        <is>
          <t>申請済み</t>
        </is>
      </c>
      <c r="G510" s="24" t="inlineStr"/>
      <c r="H510" s="24" t="inlineStr"/>
      <c r="I510" s="24" t="inlineStr"/>
      <c r="J510" s="39" t="n">
        <v>38</v>
      </c>
      <c r="K510" s="41">
        <f>EDATE('はじめに'!$C$5,J510)</f>
        <v/>
      </c>
      <c r="L510" s="39" t="inlineStr">
        <is>
          <t>法定</t>
        </is>
      </c>
      <c r="M510" s="39" t="inlineStr">
        <is>
          <t>妊娠する側</t>
        </is>
      </c>
      <c r="N510" s="39" t="inlineStr">
        <is>
          <t>1時間</t>
        </is>
      </c>
      <c r="O510" s="24" t="inlineStr"/>
      <c r="P510" s="24" t="inlineStr"/>
      <c r="Q510" s="38" t="inlineStr">
        <is>
          <t>未着手</t>
        </is>
      </c>
      <c r="R510" s="28" t="inlineStr"/>
    </row>
    <row r="511" outlineLevel="1">
      <c r="A511" s="42" t="inlineStr">
        <is>
          <t>P11-04-03</t>
        </is>
      </c>
      <c r="B511" s="42" t="inlineStr">
        <is>
          <t>P11</t>
        </is>
      </c>
      <c r="C511" s="43" t="inlineStr">
        <is>
          <t>お金</t>
        </is>
      </c>
      <c r="D511" s="42" t="n">
        <v>3</v>
      </c>
      <c r="E511" s="44" t="inlineStr">
        <is>
          <t>育児休業給付金を申請する（育休開始から4ヶ月を経過する日の属する月末まで）</t>
        </is>
      </c>
      <c r="F511" s="45" t="inlineStr">
        <is>
          <t>申請済み</t>
        </is>
      </c>
      <c r="G511" s="45" t="inlineStr"/>
      <c r="H511" s="45" t="inlineStr"/>
      <c r="I511" s="45" t="inlineStr"/>
      <c r="J511" s="42" t="n">
        <v>38</v>
      </c>
      <c r="K511" s="46">
        <f>EDATE('はじめに'!$C$5,J511)</f>
        <v/>
      </c>
      <c r="L511" s="42" t="inlineStr">
        <is>
          <t>法定</t>
        </is>
      </c>
      <c r="M511" s="42" t="inlineStr">
        <is>
          <t>2人</t>
        </is>
      </c>
      <c r="N511" s="42" t="inlineStr">
        <is>
          <t>1時間</t>
        </is>
      </c>
      <c r="O511" s="45" t="inlineStr"/>
      <c r="P511" s="45" t="inlineStr"/>
      <c r="Q511" s="38" t="inlineStr">
        <is>
          <t>未着手</t>
        </is>
      </c>
      <c r="R511" s="28" t="inlineStr"/>
    </row>
    <row r="512" outlineLevel="1">
      <c r="A512" s="39" t="inlineStr">
        <is>
          <t>P11-04-04</t>
        </is>
      </c>
      <c r="B512" s="39" t="inlineStr">
        <is>
          <t>P11</t>
        </is>
      </c>
      <c r="C512" s="22" t="inlineStr">
        <is>
          <t>お金</t>
        </is>
      </c>
      <c r="D512" s="39" t="n">
        <v>3</v>
      </c>
      <c r="E512" s="40" t="inlineStr">
        <is>
          <t>出生後休業支援給付金を申請する（両親とも14日以上の育休で13%上乗せ）</t>
        </is>
      </c>
      <c r="F512" s="24" t="inlineStr">
        <is>
          <t>申請済み</t>
        </is>
      </c>
      <c r="G512" s="24" t="inlineStr"/>
      <c r="H512" s="24" t="inlineStr"/>
      <c r="I512" s="24" t="inlineStr"/>
      <c r="J512" s="39" t="n">
        <v>38</v>
      </c>
      <c r="K512" s="41">
        <f>EDATE('はじめに'!$C$5,J512)</f>
        <v/>
      </c>
      <c r="L512" s="39" t="inlineStr">
        <is>
          <t>推奨</t>
        </is>
      </c>
      <c r="M512" s="39" t="inlineStr">
        <is>
          <t>2人</t>
        </is>
      </c>
      <c r="N512" s="39" t="inlineStr">
        <is>
          <t>30分</t>
        </is>
      </c>
      <c r="O512" s="24" t="inlineStr"/>
      <c r="P512" s="24" t="inlineStr"/>
      <c r="Q512" s="38" t="inlineStr">
        <is>
          <t>未着手</t>
        </is>
      </c>
      <c r="R512" s="28" t="inlineStr"/>
    </row>
    <row r="513" outlineLevel="1">
      <c r="A513" s="42" t="inlineStr">
        <is>
          <t>P11-04-05</t>
        </is>
      </c>
      <c r="B513" s="42" t="inlineStr">
        <is>
          <t>P11</t>
        </is>
      </c>
      <c r="C513" s="43" t="inlineStr">
        <is>
          <t>お金</t>
        </is>
      </c>
      <c r="D513" s="42" t="n">
        <v>3</v>
      </c>
      <c r="E513" s="44" t="inlineStr">
        <is>
          <t>社会保険料免除が適用されているか給与明細で確認する</t>
        </is>
      </c>
      <c r="F513" s="45" t="inlineStr">
        <is>
          <t>免除されている</t>
        </is>
      </c>
      <c r="G513" s="45" t="inlineStr"/>
      <c r="H513" s="45" t="inlineStr"/>
      <c r="I513" s="45" t="inlineStr"/>
      <c r="J513" s="42" t="n">
        <v>39</v>
      </c>
      <c r="K513" s="46">
        <f>EDATE('はじめに'!$C$5,J513)</f>
        <v/>
      </c>
      <c r="L513" s="42" t="inlineStr">
        <is>
          <t>推奨</t>
        </is>
      </c>
      <c r="M513" s="42" t="inlineStr">
        <is>
          <t>2人</t>
        </is>
      </c>
      <c r="N513" s="42" t="inlineStr">
        <is>
          <t>15分</t>
        </is>
      </c>
      <c r="O513" s="45" t="inlineStr"/>
      <c r="P513" s="45" t="inlineStr"/>
      <c r="Q513" s="38" t="inlineStr">
        <is>
          <t>未着手</t>
        </is>
      </c>
      <c r="R513" s="28" t="inlineStr"/>
    </row>
    <row r="514" outlineLevel="1">
      <c r="A514" s="39" t="inlineStr">
        <is>
          <t>P11-04-06</t>
        </is>
      </c>
      <c r="B514" s="39" t="inlineStr">
        <is>
          <t>P11</t>
        </is>
      </c>
      <c r="C514" s="22" t="inlineStr">
        <is>
          <t>お金</t>
        </is>
      </c>
      <c r="D514" s="39" t="n">
        <v>3</v>
      </c>
      <c r="E514" s="40" t="inlineStr">
        <is>
          <t>帝王切開の場合は高額療養費と民間保険の給付金を請求する</t>
        </is>
      </c>
      <c r="F514" s="24" t="inlineStr">
        <is>
          <t>請求済み</t>
        </is>
      </c>
      <c r="G514" s="24" t="inlineStr"/>
      <c r="H514" s="24" t="inlineStr"/>
      <c r="I514" s="24" t="inlineStr"/>
      <c r="J514" s="39" t="n">
        <v>38</v>
      </c>
      <c r="K514" s="41">
        <f>EDATE('はじめに'!$C$5,J514)</f>
        <v/>
      </c>
      <c r="L514" s="39" t="inlineStr">
        <is>
          <t>任意</t>
        </is>
      </c>
      <c r="M514" s="39" t="inlineStr">
        <is>
          <t>妊娠する側</t>
        </is>
      </c>
      <c r="N514" s="39" t="inlineStr">
        <is>
          <t>2時間</t>
        </is>
      </c>
      <c r="O514" s="24" t="inlineStr"/>
      <c r="P514" s="24" t="inlineStr"/>
      <c r="Q514" s="38" t="inlineStr">
        <is>
          <t>未着手</t>
        </is>
      </c>
      <c r="R514" s="28" t="inlineStr"/>
    </row>
    <row r="515" outlineLevel="1">
      <c r="A515" s="42" t="inlineStr">
        <is>
          <t>P11-04-07</t>
        </is>
      </c>
      <c r="B515" s="42" t="inlineStr">
        <is>
          <t>P11</t>
        </is>
      </c>
      <c r="C515" s="43" t="inlineStr">
        <is>
          <t>お金</t>
        </is>
      </c>
      <c r="D515" s="42" t="n">
        <v>3</v>
      </c>
      <c r="E515" s="44" t="inlineStr">
        <is>
          <t>各給付金の入金予定日をカレンダーに入れて、入金を確認する</t>
        </is>
      </c>
      <c r="F515" s="45" t="inlineStr">
        <is>
          <t>入金が確認できている</t>
        </is>
      </c>
      <c r="G515" s="45" t="inlineStr"/>
      <c r="H515" s="45" t="inlineStr"/>
      <c r="I515" s="45" t="inlineStr"/>
      <c r="J515" s="42" t="n">
        <v>39</v>
      </c>
      <c r="K515" s="46">
        <f>EDATE('はじめに'!$C$5,J515)</f>
        <v/>
      </c>
      <c r="L515" s="42" t="inlineStr">
        <is>
          <t>推奨</t>
        </is>
      </c>
      <c r="M515" s="42" t="inlineStr">
        <is>
          <t>2人</t>
        </is>
      </c>
      <c r="N515" s="42" t="inlineStr">
        <is>
          <t>30分</t>
        </is>
      </c>
      <c r="O515" s="45" t="inlineStr"/>
      <c r="P515" s="45" t="inlineStr"/>
      <c r="Q515" s="38" t="inlineStr">
        <is>
          <t>未着手</t>
        </is>
      </c>
      <c r="R515" s="28" t="inlineStr"/>
    </row>
    <row r="516">
      <c r="A516" s="33" t="inlineStr">
        <is>
          <t>P11-05</t>
        </is>
      </c>
      <c r="B516" s="33" t="inlineStr">
        <is>
          <t>P11</t>
        </is>
      </c>
      <c r="C516" s="34" t="inlineStr">
        <is>
          <t>育児</t>
        </is>
      </c>
      <c r="D516" s="33" t="n">
        <v>2</v>
      </c>
      <c r="E516" s="35" t="inlineStr">
        <is>
          <t>産後3週間、母体を回復させる体制を実行する</t>
        </is>
      </c>
      <c r="F516" s="36" t="inlineStr">
        <is>
          <t>妊娠する側が家事・来客対応をゼロにできている</t>
        </is>
      </c>
      <c r="G516" s="36" t="inlineStr">
        <is>
          <t>誰が家を回すか</t>
        </is>
      </c>
      <c r="H516" s="36" t="inlineStr"/>
      <c r="I516" s="36" t="inlineStr">
        <is>
          <t>産後の体は全治1〜2ヶ月の重傷。「動けるから動く」を止めるのがパートナーの仕事。ここで無理をすると回復が遅れ、後の1年に響く</t>
        </is>
      </c>
      <c r="J516" s="33" t="n">
        <v>37</v>
      </c>
      <c r="K516" s="37">
        <f>EDATE('はじめに'!$C$5,J516)</f>
        <v/>
      </c>
      <c r="L516" s="33" t="inlineStr">
        <is>
          <t>推奨</t>
        </is>
      </c>
      <c r="M516" s="33" t="inlineStr">
        <is>
          <t>パートナー</t>
        </is>
      </c>
      <c r="N516" s="33" t="inlineStr">
        <is>
          <t>3週間</t>
        </is>
      </c>
      <c r="O516" s="36" t="inlineStr"/>
      <c r="P516" s="36" t="inlineStr">
        <is>
          <t>産後の役割分担</t>
        </is>
      </c>
      <c r="Q516" s="38" t="inlineStr">
        <is>
          <t>未着手</t>
        </is>
      </c>
      <c r="R516" s="28" t="inlineStr"/>
    </row>
    <row r="517" outlineLevel="1">
      <c r="A517" s="42" t="inlineStr">
        <is>
          <t>P11-05-01</t>
        </is>
      </c>
      <c r="B517" s="42" t="inlineStr">
        <is>
          <t>P11</t>
        </is>
      </c>
      <c r="C517" s="43" t="inlineStr">
        <is>
          <t>育児</t>
        </is>
      </c>
      <c r="D517" s="42" t="n">
        <v>3</v>
      </c>
      <c r="E517" s="44" t="inlineStr">
        <is>
          <t>家事・買い物・手続きを全てパートナー側が引き取る</t>
        </is>
      </c>
      <c r="F517" s="45" t="inlineStr">
        <is>
          <t>妊娠する側が家事をしていない</t>
        </is>
      </c>
      <c r="G517" s="45" t="inlineStr"/>
      <c r="H517" s="45" t="inlineStr"/>
      <c r="I517" s="45" t="inlineStr"/>
      <c r="J517" s="42" t="n">
        <v>37</v>
      </c>
      <c r="K517" s="46">
        <f>EDATE('はじめに'!$C$5,J517)</f>
        <v/>
      </c>
      <c r="L517" s="42" t="inlineStr">
        <is>
          <t>推奨</t>
        </is>
      </c>
      <c r="M517" s="42" t="inlineStr">
        <is>
          <t>パートナー</t>
        </is>
      </c>
      <c r="N517" s="42" t="inlineStr">
        <is>
          <t>継続</t>
        </is>
      </c>
      <c r="O517" s="45" t="inlineStr"/>
      <c r="P517" s="45" t="inlineStr"/>
      <c r="Q517" s="38" t="inlineStr">
        <is>
          <t>未着手</t>
        </is>
      </c>
      <c r="R517" s="28" t="inlineStr"/>
    </row>
    <row r="518" outlineLevel="1">
      <c r="A518" s="39" t="inlineStr">
        <is>
          <t>P11-05-02</t>
        </is>
      </c>
      <c r="B518" s="39" t="inlineStr">
        <is>
          <t>P11</t>
        </is>
      </c>
      <c r="C518" s="22" t="inlineStr">
        <is>
          <t>育児</t>
        </is>
      </c>
      <c r="D518" s="39" t="n">
        <v>3</v>
      </c>
      <c r="E518" s="40" t="inlineStr">
        <is>
          <t>来客をコントロールする（断るのはパートナーの役目）</t>
        </is>
      </c>
      <c r="F518" s="24" t="inlineStr">
        <is>
          <t>休息が確保されている</t>
        </is>
      </c>
      <c r="G518" s="24" t="inlineStr"/>
      <c r="H518" s="24" t="inlineStr"/>
      <c r="I518" s="24" t="inlineStr"/>
      <c r="J518" s="39" t="n">
        <v>37</v>
      </c>
      <c r="K518" s="41">
        <f>EDATE('はじめに'!$C$5,J518)</f>
        <v/>
      </c>
      <c r="L518" s="39" t="inlineStr">
        <is>
          <t>推奨</t>
        </is>
      </c>
      <c r="M518" s="39" t="inlineStr">
        <is>
          <t>パートナー</t>
        </is>
      </c>
      <c r="N518" s="39" t="inlineStr">
        <is>
          <t>継続</t>
        </is>
      </c>
      <c r="O518" s="24" t="inlineStr"/>
      <c r="P518" s="24" t="inlineStr"/>
      <c r="Q518" s="38" t="inlineStr">
        <is>
          <t>未着手</t>
        </is>
      </c>
      <c r="R518" s="28" t="inlineStr"/>
    </row>
    <row r="519" outlineLevel="1">
      <c r="A519" s="42" t="inlineStr">
        <is>
          <t>P11-05-03</t>
        </is>
      </c>
      <c r="B519" s="42" t="inlineStr">
        <is>
          <t>P11</t>
        </is>
      </c>
      <c r="C519" s="43" t="inlineStr">
        <is>
          <t>育児</t>
        </is>
      </c>
      <c r="D519" s="42" t="n">
        <v>3</v>
      </c>
      <c r="E519" s="44" t="inlineStr">
        <is>
          <t>決めた夜間分担を実行する</t>
        </is>
      </c>
      <c r="F519" s="45" t="inlineStr">
        <is>
          <t>時間割どおりに回っている</t>
        </is>
      </c>
      <c r="G519" s="45" t="inlineStr"/>
      <c r="H519" s="45" t="inlineStr"/>
      <c r="I519" s="45" t="inlineStr"/>
      <c r="J519" s="42" t="n">
        <v>37</v>
      </c>
      <c r="K519" s="46">
        <f>EDATE('はじめに'!$C$5,J519)</f>
        <v/>
      </c>
      <c r="L519" s="42" t="inlineStr">
        <is>
          <t>推奨</t>
        </is>
      </c>
      <c r="M519" s="42" t="inlineStr">
        <is>
          <t>2人</t>
        </is>
      </c>
      <c r="N519" s="42" t="inlineStr">
        <is>
          <t>継続</t>
        </is>
      </c>
      <c r="O519" s="45" t="inlineStr"/>
      <c r="P519" s="45" t="inlineStr"/>
      <c r="Q519" s="38" t="inlineStr">
        <is>
          <t>未着手</t>
        </is>
      </c>
      <c r="R519" s="28" t="inlineStr"/>
    </row>
    <row r="520" outlineLevel="1">
      <c r="A520" s="39" t="inlineStr">
        <is>
          <t>P11-05-04</t>
        </is>
      </c>
      <c r="B520" s="39" t="inlineStr">
        <is>
          <t>P11</t>
        </is>
      </c>
      <c r="C520" s="22" t="inlineStr">
        <is>
          <t>育児</t>
        </is>
      </c>
      <c r="D520" s="39" t="n">
        <v>3</v>
      </c>
      <c r="E520" s="40" t="inlineStr">
        <is>
          <t>産後ケア事業を実際に予約して使う</t>
        </is>
      </c>
      <c r="F520" s="24" t="inlineStr">
        <is>
          <t>1回以上利用している</t>
        </is>
      </c>
      <c r="G520" s="24" t="inlineStr"/>
      <c r="H520" s="24" t="inlineStr"/>
      <c r="I520" s="24" t="inlineStr"/>
      <c r="J520" s="39" t="n">
        <v>38</v>
      </c>
      <c r="K520" s="41">
        <f>EDATE('はじめに'!$C$5,J520)</f>
        <v/>
      </c>
      <c r="L520" s="39" t="inlineStr">
        <is>
          <t>推奨</t>
        </is>
      </c>
      <c r="M520" s="39" t="inlineStr">
        <is>
          <t>妊娠する側</t>
        </is>
      </c>
      <c r="N520" s="39" t="inlineStr">
        <is>
          <t>半日</t>
        </is>
      </c>
      <c r="O520" s="24" t="inlineStr"/>
      <c r="P520" s="24" t="inlineStr"/>
      <c r="Q520" s="38" t="inlineStr">
        <is>
          <t>未着手</t>
        </is>
      </c>
      <c r="R520" s="28" t="inlineStr"/>
    </row>
    <row r="521">
      <c r="A521" s="33" t="inlineStr">
        <is>
          <t>P11-06</t>
        </is>
      </c>
      <c r="B521" s="33" t="inlineStr">
        <is>
          <t>P11</t>
        </is>
      </c>
      <c r="C521" s="34" t="inlineStr">
        <is>
          <t>育児</t>
        </is>
      </c>
      <c r="D521" s="33" t="n">
        <v>2</v>
      </c>
      <c r="E521" s="35" t="inlineStr">
        <is>
          <t>新生児期の育児オペレーションを回す</t>
        </is>
      </c>
      <c r="F521" s="36" t="inlineStr">
        <is>
          <t>記録が残り、2人とも一通りの世話ができる</t>
        </is>
      </c>
      <c r="G521" s="36" t="inlineStr"/>
      <c r="H521" s="36" t="inlineStr"/>
      <c r="I521" s="36" t="inlineStr"/>
      <c r="J521" s="33" t="n">
        <v>37</v>
      </c>
      <c r="K521" s="37">
        <f>EDATE('はじめに'!$C$5,J521)</f>
        <v/>
      </c>
      <c r="L521" s="33" t="inlineStr">
        <is>
          <t>推奨</t>
        </is>
      </c>
      <c r="M521" s="33" t="inlineStr">
        <is>
          <t>2人</t>
        </is>
      </c>
      <c r="N521" s="33" t="inlineStr">
        <is>
          <t>継続</t>
        </is>
      </c>
      <c r="O521" s="36" t="inlineStr"/>
      <c r="P521" s="36" t="inlineStr"/>
      <c r="Q521" s="38" t="inlineStr">
        <is>
          <t>未着手</t>
        </is>
      </c>
      <c r="R521" s="28" t="inlineStr"/>
    </row>
    <row r="522" outlineLevel="1">
      <c r="A522" s="39" t="inlineStr">
        <is>
          <t>P11-06-01</t>
        </is>
      </c>
      <c r="B522" s="39" t="inlineStr">
        <is>
          <t>P11</t>
        </is>
      </c>
      <c r="C522" s="22" t="inlineStr">
        <is>
          <t>育児</t>
        </is>
      </c>
      <c r="D522" s="39" t="n">
        <v>3</v>
      </c>
      <c r="E522" s="40" t="inlineStr">
        <is>
          <t>授乳・睡眠・排泄の記録を2人で共有できるアプリで始める</t>
        </is>
      </c>
      <c r="F522" s="24" t="inlineStr">
        <is>
          <t>記録が続いている</t>
        </is>
      </c>
      <c r="G522" s="24" t="inlineStr"/>
      <c r="H522" s="24" t="inlineStr"/>
      <c r="I522" s="24" t="inlineStr"/>
      <c r="J522" s="39" t="n">
        <v>37</v>
      </c>
      <c r="K522" s="41">
        <f>EDATE('はじめに'!$C$5,J522)</f>
        <v/>
      </c>
      <c r="L522" s="39" t="inlineStr">
        <is>
          <t>推奨</t>
        </is>
      </c>
      <c r="M522" s="39" t="inlineStr">
        <is>
          <t>2人</t>
        </is>
      </c>
      <c r="N522" s="39" t="inlineStr">
        <is>
          <t>継続</t>
        </is>
      </c>
      <c r="O522" s="24" t="inlineStr"/>
      <c r="P522" s="24" t="inlineStr"/>
      <c r="Q522" s="38" t="inlineStr">
        <is>
          <t>未着手</t>
        </is>
      </c>
      <c r="R522" s="28" t="inlineStr"/>
    </row>
    <row r="523" outlineLevel="1">
      <c r="A523" s="42" t="inlineStr">
        <is>
          <t>P11-06-02</t>
        </is>
      </c>
      <c r="B523" s="42" t="inlineStr">
        <is>
          <t>P11</t>
        </is>
      </c>
      <c r="C523" s="43" t="inlineStr">
        <is>
          <t>育児</t>
        </is>
      </c>
      <c r="D523" s="42" t="n">
        <v>3</v>
      </c>
      <c r="E523" s="44" t="inlineStr">
        <is>
          <t>沐浴を毎日行う（担当を決める）</t>
        </is>
      </c>
      <c r="F523" s="45" t="inlineStr">
        <is>
          <t>毎日できている</t>
        </is>
      </c>
      <c r="G523" s="45" t="inlineStr"/>
      <c r="H523" s="45" t="inlineStr"/>
      <c r="I523" s="45" t="inlineStr"/>
      <c r="J523" s="42" t="n">
        <v>37</v>
      </c>
      <c r="K523" s="46">
        <f>EDATE('はじめに'!$C$5,J523)</f>
        <v/>
      </c>
      <c r="L523" s="42" t="inlineStr">
        <is>
          <t>推奨</t>
        </is>
      </c>
      <c r="M523" s="42" t="inlineStr">
        <is>
          <t>パートナー</t>
        </is>
      </c>
      <c r="N523" s="42" t="inlineStr">
        <is>
          <t>継続</t>
        </is>
      </c>
      <c r="O523" s="45" t="inlineStr"/>
      <c r="P523" s="45" t="inlineStr"/>
      <c r="Q523" s="38" t="inlineStr">
        <is>
          <t>未着手</t>
        </is>
      </c>
      <c r="R523" s="28" t="inlineStr"/>
    </row>
    <row r="524" outlineLevel="1">
      <c r="A524" s="39" t="inlineStr">
        <is>
          <t>P11-06-03</t>
        </is>
      </c>
      <c r="B524" s="39" t="inlineStr">
        <is>
          <t>P11</t>
        </is>
      </c>
      <c r="C524" s="22" t="inlineStr">
        <is>
          <t>育児</t>
        </is>
      </c>
      <c r="D524" s="39" t="n">
        <v>3</v>
      </c>
      <c r="E524" s="40" t="inlineStr">
        <is>
          <t>K2シロップを週1回、生後3ヶ月まで投与する（飲ませ忘れ注意）</t>
        </is>
      </c>
      <c r="F524" s="24" t="inlineStr">
        <is>
          <t>カレンダーに固定され、忘れていない</t>
        </is>
      </c>
      <c r="G524" s="24" t="inlineStr"/>
      <c r="H524" s="24" t="inlineStr"/>
      <c r="I524" s="24" t="inlineStr"/>
      <c r="J524" s="39" t="n">
        <v>37</v>
      </c>
      <c r="K524" s="41">
        <f>EDATE('はじめに'!$C$5,J524)</f>
        <v/>
      </c>
      <c r="L524" s="39" t="inlineStr">
        <is>
          <t>推奨</t>
        </is>
      </c>
      <c r="M524" s="39" t="inlineStr">
        <is>
          <t>2人</t>
        </is>
      </c>
      <c r="N524" s="39" t="inlineStr">
        <is>
          <t>継続</t>
        </is>
      </c>
      <c r="O524" s="24" t="inlineStr"/>
      <c r="P524" s="24" t="inlineStr"/>
      <c r="Q524" s="38" t="inlineStr">
        <is>
          <t>未着手</t>
        </is>
      </c>
      <c r="R524" s="28" t="inlineStr"/>
    </row>
    <row r="525" outlineLevel="1">
      <c r="A525" s="42" t="inlineStr">
        <is>
          <t>P11-06-04</t>
        </is>
      </c>
      <c r="B525" s="42" t="inlineStr">
        <is>
          <t>P11</t>
        </is>
      </c>
      <c r="C525" s="43" t="inlineStr">
        <is>
          <t>育児</t>
        </is>
      </c>
      <c r="D525" s="42" t="n">
        <v>3</v>
      </c>
      <c r="E525" s="44" t="inlineStr">
        <is>
          <t>SIDS対策を徹底する（仰向け寝・硬い敷寝具・顔まわりに物を置かない・禁煙・適温）</t>
        </is>
      </c>
      <c r="F525" s="45" t="inlineStr">
        <is>
          <t>寝床が安全な状態になっている</t>
        </is>
      </c>
      <c r="G525" s="45" t="inlineStr"/>
      <c r="H525" s="45" t="inlineStr"/>
      <c r="I525" s="45" t="inlineStr"/>
      <c r="J525" s="42" t="n">
        <v>37</v>
      </c>
      <c r="K525" s="46">
        <f>EDATE('はじめに'!$C$5,J525)</f>
        <v/>
      </c>
      <c r="L525" s="42" t="inlineStr">
        <is>
          <t>推奨</t>
        </is>
      </c>
      <c r="M525" s="42" t="inlineStr">
        <is>
          <t>2人</t>
        </is>
      </c>
      <c r="N525" s="42" t="inlineStr">
        <is>
          <t>継続</t>
        </is>
      </c>
      <c r="O525" s="45" t="inlineStr"/>
      <c r="P525" s="45" t="inlineStr"/>
      <c r="Q525" s="38" t="inlineStr">
        <is>
          <t>未着手</t>
        </is>
      </c>
      <c r="R525" s="28" t="inlineStr"/>
    </row>
    <row r="526" outlineLevel="1">
      <c r="A526" s="39" t="inlineStr">
        <is>
          <t>P11-06-05</t>
        </is>
      </c>
      <c r="B526" s="39" t="inlineStr">
        <is>
          <t>P11</t>
        </is>
      </c>
      <c r="C526" s="22" t="inlineStr">
        <is>
          <t>育児</t>
        </is>
      </c>
      <c r="D526" s="39" t="n">
        <v>3</v>
      </c>
      <c r="E526" s="40" t="inlineStr">
        <is>
          <t>「泣き止まないときは絶対に揺さぶらない」を2人で確認する</t>
        </is>
      </c>
      <c r="F526" s="24" t="inlineStr">
        <is>
          <t>対応方針が共有されている</t>
        </is>
      </c>
      <c r="G526" s="24" t="inlineStr"/>
      <c r="H526" s="24" t="inlineStr"/>
      <c r="I526" s="24" t="inlineStr"/>
      <c r="J526" s="39" t="n">
        <v>37</v>
      </c>
      <c r="K526" s="41">
        <f>EDATE('はじめに'!$C$5,J526)</f>
        <v/>
      </c>
      <c r="L526" s="39" t="inlineStr">
        <is>
          <t>推奨</t>
        </is>
      </c>
      <c r="M526" s="39" t="inlineStr">
        <is>
          <t>2人</t>
        </is>
      </c>
      <c r="N526" s="39" t="inlineStr">
        <is>
          <t>15分</t>
        </is>
      </c>
      <c r="O526" s="24" t="inlineStr"/>
      <c r="P526" s="24" t="inlineStr"/>
      <c r="Q526" s="38" t="inlineStr">
        <is>
          <t>未着手</t>
        </is>
      </c>
      <c r="R526" s="28" t="inlineStr"/>
    </row>
    <row r="527" outlineLevel="1">
      <c r="A527" s="42" t="inlineStr">
        <is>
          <t>P11-06-06</t>
        </is>
      </c>
      <c r="B527" s="42" t="inlineStr">
        <is>
          <t>P11</t>
        </is>
      </c>
      <c r="C527" s="43" t="inlineStr">
        <is>
          <t>育児</t>
        </is>
      </c>
      <c r="D527" s="42" t="n">
        <v>3</v>
      </c>
      <c r="E527" s="44" t="inlineStr">
        <is>
          <t>消耗品の定期購入を開始する</t>
        </is>
      </c>
      <c r="F527" s="45" t="inlineStr">
        <is>
          <t>買い物に行かなくても回る</t>
        </is>
      </c>
      <c r="G527" s="45" t="inlineStr"/>
      <c r="H527" s="45" t="inlineStr"/>
      <c r="I527" s="45" t="inlineStr"/>
      <c r="J527" s="42" t="n">
        <v>37</v>
      </c>
      <c r="K527" s="46">
        <f>EDATE('はじめに'!$C$5,J527)</f>
        <v/>
      </c>
      <c r="L527" s="42" t="inlineStr">
        <is>
          <t>推奨</t>
        </is>
      </c>
      <c r="M527" s="42" t="inlineStr">
        <is>
          <t>パートナー</t>
        </is>
      </c>
      <c r="N527" s="42" t="inlineStr">
        <is>
          <t>30分</t>
        </is>
      </c>
      <c r="O527" s="45" t="inlineStr"/>
      <c r="P527" s="45" t="inlineStr"/>
      <c r="Q527" s="38" t="inlineStr">
        <is>
          <t>未着手</t>
        </is>
      </c>
      <c r="R527" s="28" t="inlineStr"/>
    </row>
    <row r="528">
      <c r="A528" s="33" t="inlineStr">
        <is>
          <t>P11-07</t>
        </is>
      </c>
      <c r="B528" s="33" t="inlineStr">
        <is>
          <t>P11</t>
        </is>
      </c>
      <c r="C528" s="34" t="inlineStr">
        <is>
          <t>医療</t>
        </is>
      </c>
      <c r="D528" s="33" t="n">
        <v>2</v>
      </c>
      <c r="E528" s="35" t="inlineStr">
        <is>
          <t>産後の健診とスクリーニングを受ける</t>
        </is>
      </c>
      <c r="F528" s="36" t="inlineStr">
        <is>
          <t>2週間健診と新生児訪問が完了している</t>
        </is>
      </c>
      <c r="G528" s="36" t="inlineStr"/>
      <c r="H528" s="36" t="inlineStr"/>
      <c r="I528" s="36" t="inlineStr"/>
      <c r="J528" s="33" t="n">
        <v>38</v>
      </c>
      <c r="K528" s="37">
        <f>EDATE('はじめに'!$C$5,J528)</f>
        <v/>
      </c>
      <c r="L528" s="33" t="inlineStr">
        <is>
          <t>推奨</t>
        </is>
      </c>
      <c r="M528" s="33" t="inlineStr">
        <is>
          <t>2人</t>
        </is>
      </c>
      <c r="N528" s="33" t="inlineStr">
        <is>
          <t>3週間</t>
        </is>
      </c>
      <c r="O528" s="36" t="inlineStr">
        <is>
          <t>0〜5,000円</t>
        </is>
      </c>
      <c r="P528" s="36" t="inlineStr">
        <is>
          <t>出生連絡票の提出</t>
        </is>
      </c>
      <c r="Q528" s="38" t="inlineStr">
        <is>
          <t>未着手</t>
        </is>
      </c>
      <c r="R528" s="28" t="inlineStr"/>
    </row>
    <row r="529" outlineLevel="1">
      <c r="A529" s="42" t="inlineStr">
        <is>
          <t>P11-07-01</t>
        </is>
      </c>
      <c r="B529" s="42" t="inlineStr">
        <is>
          <t>P11</t>
        </is>
      </c>
      <c r="C529" s="43" t="inlineStr">
        <is>
          <t>医療</t>
        </is>
      </c>
      <c r="D529" s="42" t="n">
        <v>3</v>
      </c>
      <c r="E529" s="44" t="inlineStr">
        <is>
          <t>産後2週間健診を受ける（母のEPDS＝産後うつスクリーニングを含む）</t>
        </is>
      </c>
      <c r="F529" s="45" t="inlineStr">
        <is>
          <t>受診済み</t>
        </is>
      </c>
      <c r="G529" s="45" t="inlineStr"/>
      <c r="H529" s="45" t="inlineStr"/>
      <c r="I529" s="45" t="inlineStr"/>
      <c r="J529" s="42" t="n">
        <v>38</v>
      </c>
      <c r="K529" s="46">
        <f>EDATE('はじめに'!$C$5,J529)</f>
        <v/>
      </c>
      <c r="L529" s="42" t="inlineStr">
        <is>
          <t>推奨</t>
        </is>
      </c>
      <c r="M529" s="42" t="inlineStr">
        <is>
          <t>妊娠する側</t>
        </is>
      </c>
      <c r="N529" s="42" t="inlineStr">
        <is>
          <t>半日</t>
        </is>
      </c>
      <c r="O529" s="45" t="inlineStr"/>
      <c r="P529" s="45" t="inlineStr"/>
      <c r="Q529" s="38" t="inlineStr">
        <is>
          <t>未着手</t>
        </is>
      </c>
      <c r="R529" s="28" t="inlineStr"/>
    </row>
    <row r="530" outlineLevel="1">
      <c r="A530" s="39" t="inlineStr">
        <is>
          <t>P11-07-02</t>
        </is>
      </c>
      <c r="B530" s="39" t="inlineStr">
        <is>
          <t>P11</t>
        </is>
      </c>
      <c r="C530" s="22" t="inlineStr">
        <is>
          <t>医療</t>
        </is>
      </c>
      <c r="D530" s="39" t="n">
        <v>3</v>
      </c>
      <c r="E530" s="40" t="inlineStr">
        <is>
          <t>新生児訪問（助産師・保健師）を受ける（生後28日以内）</t>
        </is>
      </c>
      <c r="F530" s="24" t="inlineStr">
        <is>
          <t>訪問済み</t>
        </is>
      </c>
      <c r="G530" s="24" t="inlineStr"/>
      <c r="H530" s="24" t="inlineStr"/>
      <c r="I530" s="24" t="inlineStr"/>
      <c r="J530" s="39" t="n">
        <v>38</v>
      </c>
      <c r="K530" s="41">
        <f>EDATE('はじめに'!$C$5,J530)</f>
        <v/>
      </c>
      <c r="L530" s="39" t="inlineStr">
        <is>
          <t>推奨</t>
        </is>
      </c>
      <c r="M530" s="39" t="inlineStr">
        <is>
          <t>妊娠する側</t>
        </is>
      </c>
      <c r="N530" s="39" t="inlineStr">
        <is>
          <t>2時間</t>
        </is>
      </c>
      <c r="O530" s="24" t="inlineStr"/>
      <c r="P530" s="24" t="inlineStr"/>
      <c r="Q530" s="38" t="inlineStr">
        <is>
          <t>未着手</t>
        </is>
      </c>
      <c r="R530" s="28" t="inlineStr"/>
    </row>
    <row r="531" outlineLevel="1">
      <c r="A531" s="42" t="inlineStr">
        <is>
          <t>P11-07-03</t>
        </is>
      </c>
      <c r="B531" s="42" t="inlineStr">
        <is>
          <t>P11</t>
        </is>
      </c>
      <c r="C531" s="43" t="inlineStr">
        <is>
          <t>医療</t>
        </is>
      </c>
      <c r="D531" s="42" t="n">
        <v>3</v>
      </c>
      <c r="E531" s="44" t="inlineStr">
        <is>
          <t>妊婦のための支援給付（第2回5万円）を申請する</t>
        </is>
      </c>
      <c r="F531" s="45" t="inlineStr">
        <is>
          <t>申請済み</t>
        </is>
      </c>
      <c r="G531" s="45" t="inlineStr"/>
      <c r="H531" s="45" t="inlineStr"/>
      <c r="I531" s="45" t="inlineStr"/>
      <c r="J531" s="42" t="n">
        <v>38</v>
      </c>
      <c r="K531" s="46">
        <f>EDATE('はじめに'!$C$5,J531)</f>
        <v/>
      </c>
      <c r="L531" s="42" t="inlineStr">
        <is>
          <t>推奨</t>
        </is>
      </c>
      <c r="M531" s="42" t="inlineStr">
        <is>
          <t>どちらか</t>
        </is>
      </c>
      <c r="N531" s="42" t="inlineStr">
        <is>
          <t>30分</t>
        </is>
      </c>
      <c r="O531" s="45" t="inlineStr"/>
      <c r="P531" s="45" t="inlineStr"/>
      <c r="Q531" s="38" t="inlineStr">
        <is>
          <t>未着手</t>
        </is>
      </c>
      <c r="R531" s="28" t="inlineStr"/>
    </row>
    <row r="532">
      <c r="A532" s="33" t="inlineStr">
        <is>
          <t>P11-08</t>
        </is>
      </c>
      <c r="B532" s="33" t="inlineStr">
        <is>
          <t>P11</t>
        </is>
      </c>
      <c r="C532" s="34" t="inlineStr">
        <is>
          <t>関係</t>
        </is>
      </c>
      <c r="D532" s="33" t="n">
        <v>2</v>
      </c>
      <c r="E532" s="35" t="inlineStr">
        <is>
          <t>産後うつの兆候を毎週チェックする</t>
        </is>
      </c>
      <c r="F532" s="36" t="inlineStr">
        <is>
          <t>毎週の確認が習慣になっている</t>
        </is>
      </c>
      <c r="G532" s="36" t="inlineStr">
        <is>
          <t>何が出たら受診するか</t>
        </is>
      </c>
      <c r="H532" s="36" t="inlineStr">
        <is>
          <t>眠れない／涙が止まらない／赤ちゃんが可愛く思えない／自分を責め続ける／食べられない</t>
        </is>
      </c>
      <c r="I532" s="36" t="inlineStr">
        <is>
          <t>マタニティブルーズは2週間で軽快する。2週間を超えたら産後うつを疑い、保健センターか産科へ。本人に判断させず、パートナーが予約を取る</t>
        </is>
      </c>
      <c r="J532" s="33" t="n">
        <v>38</v>
      </c>
      <c r="K532" s="37">
        <f>EDATE('はじめに'!$C$5,J532)</f>
        <v/>
      </c>
      <c r="L532" s="33" t="inlineStr">
        <is>
          <t>推奨</t>
        </is>
      </c>
      <c r="M532" s="33" t="inlineStr">
        <is>
          <t>パートナー</t>
        </is>
      </c>
      <c r="N532" s="33" t="inlineStr">
        <is>
          <t>継続</t>
        </is>
      </c>
      <c r="O532" s="36" t="inlineStr"/>
      <c r="P532" s="36" t="inlineStr">
        <is>
          <t>産後の役割分担</t>
        </is>
      </c>
      <c r="Q532" s="38" t="inlineStr">
        <is>
          <t>未着手</t>
        </is>
      </c>
      <c r="R532" s="28" t="inlineStr"/>
    </row>
    <row r="533" outlineLevel="1">
      <c r="A533" s="42" t="inlineStr">
        <is>
          <t>P11-08-01</t>
        </is>
      </c>
      <c r="B533" s="42" t="inlineStr">
        <is>
          <t>P11</t>
        </is>
      </c>
      <c r="C533" s="43" t="inlineStr">
        <is>
          <t>関係</t>
        </is>
      </c>
      <c r="D533" s="42" t="n">
        <v>3</v>
      </c>
      <c r="E533" s="44" t="inlineStr">
        <is>
          <t>週次ミーティングに「体調・気分」の項目を追加する</t>
        </is>
      </c>
      <c r="F533" s="45" t="inlineStr">
        <is>
          <t>毎週確認できている</t>
        </is>
      </c>
      <c r="G533" s="45" t="inlineStr"/>
      <c r="H533" s="45" t="inlineStr"/>
      <c r="I533" s="45" t="inlineStr"/>
      <c r="J533" s="42" t="n">
        <v>38</v>
      </c>
      <c r="K533" s="46">
        <f>EDATE('はじめに'!$C$5,J533)</f>
        <v/>
      </c>
      <c r="L533" s="42" t="inlineStr">
        <is>
          <t>推奨</t>
        </is>
      </c>
      <c r="M533" s="42" t="inlineStr">
        <is>
          <t>2人</t>
        </is>
      </c>
      <c r="N533" s="42" t="inlineStr">
        <is>
          <t>5分</t>
        </is>
      </c>
      <c r="O533" s="45" t="inlineStr"/>
      <c r="P533" s="45" t="inlineStr"/>
      <c r="Q533" s="38" t="inlineStr">
        <is>
          <t>未着手</t>
        </is>
      </c>
      <c r="R533" s="28" t="inlineStr"/>
    </row>
    <row r="534" outlineLevel="1">
      <c r="A534" s="39" t="inlineStr">
        <is>
          <t>P11-08-02</t>
        </is>
      </c>
      <c r="B534" s="39" t="inlineStr">
        <is>
          <t>P11</t>
        </is>
      </c>
      <c r="C534" s="22" t="inlineStr">
        <is>
          <t>関係</t>
        </is>
      </c>
      <c r="D534" s="39" t="n">
        <v>3</v>
      </c>
      <c r="E534" s="40" t="inlineStr">
        <is>
          <t>2週間続いたら保健センターか産科に相談する（パートナーが予約を取る）</t>
        </is>
      </c>
      <c r="F534" s="24" t="inlineStr">
        <is>
          <t>受診の閾値が明確</t>
        </is>
      </c>
      <c r="G534" s="24" t="inlineStr"/>
      <c r="H534" s="24" t="inlineStr"/>
      <c r="I534" s="24" t="inlineStr"/>
      <c r="J534" s="39" t="n">
        <v>38</v>
      </c>
      <c r="K534" s="41">
        <f>EDATE('はじめに'!$C$5,J534)</f>
        <v/>
      </c>
      <c r="L534" s="39" t="inlineStr">
        <is>
          <t>推奨</t>
        </is>
      </c>
      <c r="M534" s="39" t="inlineStr">
        <is>
          <t>パートナー</t>
        </is>
      </c>
      <c r="N534" s="39" t="inlineStr">
        <is>
          <t>-</t>
        </is>
      </c>
      <c r="O534" s="24" t="inlineStr"/>
      <c r="P534" s="24" t="inlineStr"/>
      <c r="Q534" s="38" t="inlineStr">
        <is>
          <t>未着手</t>
        </is>
      </c>
      <c r="R534" s="28" t="inlineStr"/>
    </row>
    <row r="535">
      <c r="A535" s="33" t="inlineStr">
        <is>
          <t>P11-09</t>
        </is>
      </c>
      <c r="B535" s="33" t="inlineStr">
        <is>
          <t>P11</t>
        </is>
      </c>
      <c r="C535" s="34" t="inlineStr">
        <is>
          <t>記録</t>
        </is>
      </c>
      <c r="D535" s="33" t="n">
        <v>2</v>
      </c>
      <c r="E535" s="35" t="inlineStr">
        <is>
          <t>お七夜・命名・内祝い</t>
        </is>
      </c>
      <c r="F535" s="36" t="inlineStr">
        <is>
          <t>内祝いの発送まで済んでいる</t>
        </is>
      </c>
      <c r="G535" s="36" t="inlineStr"/>
      <c r="H535" s="36" t="inlineStr"/>
      <c r="I535" s="36" t="inlineStr"/>
      <c r="J535" s="33" t="n">
        <v>38</v>
      </c>
      <c r="K535" s="37">
        <f>EDATE('はじめに'!$C$5,J535)</f>
        <v/>
      </c>
      <c r="L535" s="33" t="inlineStr">
        <is>
          <t>任意</t>
        </is>
      </c>
      <c r="M535" s="33" t="inlineStr">
        <is>
          <t>2人</t>
        </is>
      </c>
      <c r="N535" s="33" t="inlineStr">
        <is>
          <t>1ヶ月</t>
        </is>
      </c>
      <c r="O535" s="36" t="inlineStr"/>
      <c r="P535" s="36" t="inlineStr">
        <is>
          <t>出生届の提出</t>
        </is>
      </c>
      <c r="Q535" s="38" t="inlineStr">
        <is>
          <t>未着手</t>
        </is>
      </c>
      <c r="R535" s="28" t="inlineStr"/>
    </row>
    <row r="536" outlineLevel="1">
      <c r="A536" s="39" t="inlineStr">
        <is>
          <t>P11-09-01</t>
        </is>
      </c>
      <c r="B536" s="39" t="inlineStr">
        <is>
          <t>P11</t>
        </is>
      </c>
      <c r="C536" s="22" t="inlineStr">
        <is>
          <t>記録</t>
        </is>
      </c>
      <c r="D536" s="39" t="n">
        <v>3</v>
      </c>
      <c r="E536" s="40" t="inlineStr">
        <is>
          <t>お七夜・命名書（省略可）</t>
        </is>
      </c>
      <c r="F536" s="24" t="inlineStr">
        <is>
          <t>実施 or 見送り済み</t>
        </is>
      </c>
      <c r="G536" s="24" t="inlineStr"/>
      <c r="H536" s="24" t="inlineStr"/>
      <c r="I536" s="24" t="inlineStr"/>
      <c r="J536" s="39" t="n">
        <v>37</v>
      </c>
      <c r="K536" s="41">
        <f>EDATE('はじめに'!$C$5,J536)</f>
        <v/>
      </c>
      <c r="L536" s="39" t="inlineStr">
        <is>
          <t>任意</t>
        </is>
      </c>
      <c r="M536" s="39" t="inlineStr">
        <is>
          <t>2人</t>
        </is>
      </c>
      <c r="N536" s="39" t="inlineStr">
        <is>
          <t>1時間</t>
        </is>
      </c>
      <c r="O536" s="24" t="inlineStr"/>
      <c r="P536" s="24" t="inlineStr"/>
      <c r="Q536" s="38" t="inlineStr">
        <is>
          <t>未着手</t>
        </is>
      </c>
      <c r="R536" s="28" t="inlineStr"/>
    </row>
    <row r="537" outlineLevel="1">
      <c r="A537" s="42" t="inlineStr">
        <is>
          <t>P11-09-02</t>
        </is>
      </c>
      <c r="B537" s="42" t="inlineStr">
        <is>
          <t>P11</t>
        </is>
      </c>
      <c r="C537" s="43" t="inlineStr">
        <is>
          <t>記録</t>
        </is>
      </c>
      <c r="D537" s="42" t="n">
        <v>3</v>
      </c>
      <c r="E537" s="44" t="inlineStr">
        <is>
          <t>出産報告をリストに沿って行う</t>
        </is>
      </c>
      <c r="F537" s="45" t="inlineStr">
        <is>
          <t>報告済み</t>
        </is>
      </c>
      <c r="G537" s="45" t="inlineStr"/>
      <c r="H537" s="45" t="inlineStr"/>
      <c r="I537" s="45" t="inlineStr"/>
      <c r="J537" s="42" t="n">
        <v>37</v>
      </c>
      <c r="K537" s="46">
        <f>EDATE('はじめに'!$C$5,J537)</f>
        <v/>
      </c>
      <c r="L537" s="42" t="inlineStr">
        <is>
          <t>任意</t>
        </is>
      </c>
      <c r="M537" s="42" t="inlineStr">
        <is>
          <t>パートナー</t>
        </is>
      </c>
      <c r="N537" s="42" t="inlineStr">
        <is>
          <t>1時間</t>
        </is>
      </c>
      <c r="O537" s="45" t="inlineStr"/>
      <c r="P537" s="45" t="inlineStr"/>
      <c r="Q537" s="38" t="inlineStr">
        <is>
          <t>未着手</t>
        </is>
      </c>
      <c r="R537" s="28" t="inlineStr"/>
    </row>
    <row r="538" outlineLevel="1">
      <c r="A538" s="39" t="inlineStr">
        <is>
          <t>P11-09-03</t>
        </is>
      </c>
      <c r="B538" s="39" t="inlineStr">
        <is>
          <t>P11</t>
        </is>
      </c>
      <c r="C538" s="22" t="inlineStr">
        <is>
          <t>記録</t>
        </is>
      </c>
      <c r="D538" s="39" t="n">
        <v>3</v>
      </c>
      <c r="E538" s="40" t="inlineStr">
        <is>
          <t>内祝いのリストを作る（いただいた物・金額・住所）</t>
        </is>
      </c>
      <c r="F538" s="24" t="inlineStr">
        <is>
          <t>リストができている</t>
        </is>
      </c>
      <c r="G538" s="24" t="inlineStr"/>
      <c r="H538" s="24" t="inlineStr"/>
      <c r="I538" s="24" t="inlineStr"/>
      <c r="J538" s="39" t="n">
        <v>38</v>
      </c>
      <c r="K538" s="41">
        <f>EDATE('はじめに'!$C$5,J538)</f>
        <v/>
      </c>
      <c r="L538" s="39" t="inlineStr">
        <is>
          <t>推奨</t>
        </is>
      </c>
      <c r="M538" s="39" t="inlineStr">
        <is>
          <t>2人</t>
        </is>
      </c>
      <c r="N538" s="39" t="inlineStr">
        <is>
          <t>1時間</t>
        </is>
      </c>
      <c r="O538" s="24" t="inlineStr"/>
      <c r="P538" s="24" t="inlineStr"/>
      <c r="Q538" s="38" t="inlineStr">
        <is>
          <t>未着手</t>
        </is>
      </c>
      <c r="R538" s="28" t="inlineStr"/>
    </row>
    <row r="539" outlineLevel="1">
      <c r="A539" s="42" t="inlineStr">
        <is>
          <t>P11-09-04</t>
        </is>
      </c>
      <c r="B539" s="42" t="inlineStr">
        <is>
          <t>P11</t>
        </is>
      </c>
      <c r="C539" s="43" t="inlineStr">
        <is>
          <t>記録</t>
        </is>
      </c>
      <c r="D539" s="42" t="n">
        <v>3</v>
      </c>
      <c r="E539" s="44" t="inlineStr">
        <is>
          <t>内祝いを発送する（いただいてから1ヶ月以内、相場は半返し）</t>
        </is>
      </c>
      <c r="F539" s="45" t="inlineStr">
        <is>
          <t>発送済み</t>
        </is>
      </c>
      <c r="G539" s="45" t="inlineStr"/>
      <c r="H539" s="45" t="inlineStr"/>
      <c r="I539" s="45" t="inlineStr"/>
      <c r="J539" s="42" t="n">
        <v>39</v>
      </c>
      <c r="K539" s="46">
        <f>EDATE('はじめに'!$C$5,J539)</f>
        <v/>
      </c>
      <c r="L539" s="42" t="inlineStr">
        <is>
          <t>推奨</t>
        </is>
      </c>
      <c r="M539" s="42" t="inlineStr">
        <is>
          <t>パートナー</t>
        </is>
      </c>
      <c r="N539" s="42" t="inlineStr">
        <is>
          <t>2時間</t>
        </is>
      </c>
      <c r="O539" s="45" t="inlineStr"/>
      <c r="P539" s="45" t="inlineStr"/>
      <c r="Q539" s="38" t="inlineStr">
        <is>
          <t>未着手</t>
        </is>
      </c>
      <c r="R539" s="28" t="inlineStr"/>
    </row>
    <row r="540" outlineLevel="1">
      <c r="A540" s="39" t="inlineStr">
        <is>
          <t>P11-09-05</t>
        </is>
      </c>
      <c r="B540" s="39" t="inlineStr">
        <is>
          <t>P11</t>
        </is>
      </c>
      <c r="C540" s="22" t="inlineStr">
        <is>
          <t>記録</t>
        </is>
      </c>
      <c r="D540" s="39" t="n">
        <v>3</v>
      </c>
      <c r="E540" s="40" t="inlineStr">
        <is>
          <t>ニューボーンフォト・手形足形（生後2週間まで）</t>
        </is>
      </c>
      <c r="F540" s="24" t="inlineStr">
        <is>
          <t>撮影済み</t>
        </is>
      </c>
      <c r="G540" s="24" t="inlineStr"/>
      <c r="H540" s="24" t="inlineStr"/>
      <c r="I540" s="24" t="inlineStr"/>
      <c r="J540" s="39" t="n">
        <v>37</v>
      </c>
      <c r="K540" s="41">
        <f>EDATE('はじめに'!$C$5,J540)</f>
        <v/>
      </c>
      <c r="L540" s="39" t="inlineStr">
        <is>
          <t>任意</t>
        </is>
      </c>
      <c r="M540" s="39" t="inlineStr">
        <is>
          <t>2人</t>
        </is>
      </c>
      <c r="N540" s="39" t="inlineStr">
        <is>
          <t>半日</t>
        </is>
      </c>
      <c r="O540" s="24" t="inlineStr"/>
      <c r="P540" s="24" t="inlineStr"/>
      <c r="Q540" s="38" t="inlineStr">
        <is>
          <t>未着手</t>
        </is>
      </c>
      <c r="R540" s="28" t="inlineStr"/>
    </row>
    <row r="541">
      <c r="A541" s="33" t="inlineStr">
        <is>
          <t>P12-01</t>
        </is>
      </c>
      <c r="B541" s="33" t="inlineStr">
        <is>
          <t>P12</t>
        </is>
      </c>
      <c r="C541" s="34" t="inlineStr">
        <is>
          <t>医療</t>
        </is>
      </c>
      <c r="D541" s="33" t="n">
        <v>2</v>
      </c>
      <c r="E541" s="35" t="inlineStr">
        <is>
          <t>1ヶ月健診を受ける</t>
        </is>
      </c>
      <c r="F541" s="36" t="inlineStr">
        <is>
          <t>母子とも問題なしを確認し、生活の制限が解除されている</t>
        </is>
      </c>
      <c r="G541" s="36" t="inlineStr"/>
      <c r="H541" s="36" t="inlineStr"/>
      <c r="I541" s="36" t="inlineStr"/>
      <c r="J541" s="33" t="n">
        <v>39</v>
      </c>
      <c r="K541" s="37">
        <f>EDATE('はじめに'!$C$5,J541)</f>
        <v/>
      </c>
      <c r="L541" s="33" t="inlineStr">
        <is>
          <t>推奨</t>
        </is>
      </c>
      <c r="M541" s="33" t="inlineStr">
        <is>
          <t>2人</t>
        </is>
      </c>
      <c r="N541" s="33" t="inlineStr">
        <is>
          <t>半日</t>
        </is>
      </c>
      <c r="O541" s="36" t="inlineStr">
        <is>
          <t>5,000〜1万円</t>
        </is>
      </c>
      <c r="P541" s="36" t="inlineStr">
        <is>
          <t>健康保険の加入</t>
        </is>
      </c>
      <c r="Q541" s="38" t="inlineStr">
        <is>
          <t>未着手</t>
        </is>
      </c>
      <c r="R541" s="28" t="inlineStr"/>
    </row>
    <row r="542" outlineLevel="1">
      <c r="A542" s="39" t="inlineStr">
        <is>
          <t>P12-01-01</t>
        </is>
      </c>
      <c r="B542" s="39" t="inlineStr">
        <is>
          <t>P12</t>
        </is>
      </c>
      <c r="C542" s="22" t="inlineStr">
        <is>
          <t>医療</t>
        </is>
      </c>
      <c r="D542" s="39" t="n">
        <v>3</v>
      </c>
      <c r="E542" s="40" t="inlineStr">
        <is>
          <t>1ヶ月健診を受診する（子：体重・黄疸・股関節／母：子宮回復・悪露・傷）</t>
        </is>
      </c>
      <c r="F542" s="24" t="inlineStr">
        <is>
          <t>受診済み</t>
        </is>
      </c>
      <c r="G542" s="24" t="inlineStr"/>
      <c r="H542" s="24" t="inlineStr"/>
      <c r="I542" s="24" t="inlineStr"/>
      <c r="J542" s="39" t="n">
        <v>39</v>
      </c>
      <c r="K542" s="41">
        <f>EDATE('はじめに'!$C$5,J542)</f>
        <v/>
      </c>
      <c r="L542" s="39" t="inlineStr">
        <is>
          <t>推奨</t>
        </is>
      </c>
      <c r="M542" s="39" t="inlineStr">
        <is>
          <t>2人</t>
        </is>
      </c>
      <c r="N542" s="39" t="inlineStr">
        <is>
          <t>半日</t>
        </is>
      </c>
      <c r="O542" s="24" t="inlineStr"/>
      <c r="P542" s="24" t="inlineStr"/>
      <c r="Q542" s="38" t="inlineStr">
        <is>
          <t>未着手</t>
        </is>
      </c>
      <c r="R542" s="28" t="inlineStr"/>
    </row>
    <row r="543" outlineLevel="1">
      <c r="A543" s="42" t="inlineStr">
        <is>
          <t>P12-01-02</t>
        </is>
      </c>
      <c r="B543" s="42" t="inlineStr">
        <is>
          <t>P12</t>
        </is>
      </c>
      <c r="C543" s="43" t="inlineStr">
        <is>
          <t>医療</t>
        </is>
      </c>
      <c r="D543" s="42" t="n">
        <v>3</v>
      </c>
      <c r="E543" s="44" t="inlineStr">
        <is>
          <t>母の入浴・運動・性交渉の再開可否を確認する</t>
        </is>
      </c>
      <c r="F543" s="45" t="inlineStr">
        <is>
          <t>確認済み</t>
        </is>
      </c>
      <c r="G543" s="45" t="inlineStr"/>
      <c r="H543" s="45" t="inlineStr"/>
      <c r="I543" s="45" t="inlineStr"/>
      <c r="J543" s="42" t="n">
        <v>39</v>
      </c>
      <c r="K543" s="46">
        <f>EDATE('はじめに'!$C$5,J543)</f>
        <v/>
      </c>
      <c r="L543" s="42" t="inlineStr">
        <is>
          <t>推奨</t>
        </is>
      </c>
      <c r="M543" s="42" t="inlineStr">
        <is>
          <t>妊娠する側</t>
        </is>
      </c>
      <c r="N543" s="42" t="inlineStr">
        <is>
          <t>-</t>
        </is>
      </c>
      <c r="O543" s="45" t="inlineStr"/>
      <c r="P543" s="45" t="inlineStr"/>
      <c r="Q543" s="38" t="inlineStr">
        <is>
          <t>未着手</t>
        </is>
      </c>
      <c r="R543" s="28" t="inlineStr"/>
    </row>
    <row r="544" outlineLevel="1">
      <c r="A544" s="39" t="inlineStr">
        <is>
          <t>P12-01-03</t>
        </is>
      </c>
      <c r="B544" s="39" t="inlineStr">
        <is>
          <t>P12</t>
        </is>
      </c>
      <c r="C544" s="22" t="inlineStr">
        <is>
          <t>医療</t>
        </is>
      </c>
      <c r="D544" s="39" t="n">
        <v>3</v>
      </c>
      <c r="E544" s="40" t="inlineStr">
        <is>
          <t>完全母乳の場合、ビタミンDの補足について相談する</t>
        </is>
      </c>
      <c r="F544" s="24" t="inlineStr">
        <is>
          <t>方針が決まっている</t>
        </is>
      </c>
      <c r="G544" s="24" t="inlineStr"/>
      <c r="H544" s="24" t="inlineStr"/>
      <c r="I544" s="24" t="inlineStr"/>
      <c r="J544" s="39" t="n">
        <v>39</v>
      </c>
      <c r="K544" s="41">
        <f>EDATE('はじめに'!$C$5,J544)</f>
        <v/>
      </c>
      <c r="L544" s="39" t="inlineStr">
        <is>
          <t>任意</t>
        </is>
      </c>
      <c r="M544" s="39" t="inlineStr">
        <is>
          <t>妊娠する側</t>
        </is>
      </c>
      <c r="N544" s="39" t="inlineStr">
        <is>
          <t>-</t>
        </is>
      </c>
      <c r="O544" s="24" t="inlineStr"/>
      <c r="P544" s="24" t="inlineStr"/>
      <c r="Q544" s="38" t="inlineStr">
        <is>
          <t>未着手</t>
        </is>
      </c>
      <c r="R544" s="28" t="inlineStr"/>
    </row>
    <row r="545" outlineLevel="1">
      <c r="A545" s="42" t="inlineStr">
        <is>
          <t>P12-01-04</t>
        </is>
      </c>
      <c r="B545" s="42" t="inlineStr">
        <is>
          <t>P12</t>
        </is>
      </c>
      <c r="C545" s="43" t="inlineStr">
        <is>
          <t>医療</t>
        </is>
      </c>
      <c r="D545" s="42" t="n">
        <v>3</v>
      </c>
      <c r="E545" s="44" t="inlineStr">
        <is>
          <t>大人と一緒の入浴に移行する（バスチェア・マットを用意）</t>
        </is>
      </c>
      <c r="F545" s="45" t="inlineStr">
        <is>
          <t>移行済み</t>
        </is>
      </c>
      <c r="G545" s="45" t="inlineStr"/>
      <c r="H545" s="45" t="inlineStr"/>
      <c r="I545" s="45" t="inlineStr"/>
      <c r="J545" s="42" t="n">
        <v>39</v>
      </c>
      <c r="K545" s="46">
        <f>EDATE('はじめに'!$C$5,J545)</f>
        <v/>
      </c>
      <c r="L545" s="42" t="inlineStr">
        <is>
          <t>推奨</t>
        </is>
      </c>
      <c r="M545" s="42" t="inlineStr">
        <is>
          <t>2人</t>
        </is>
      </c>
      <c r="N545" s="42" t="inlineStr">
        <is>
          <t>1時間</t>
        </is>
      </c>
      <c r="O545" s="45" t="inlineStr"/>
      <c r="P545" s="45" t="inlineStr"/>
      <c r="Q545" s="38" t="inlineStr">
        <is>
          <t>未着手</t>
        </is>
      </c>
      <c r="R545" s="28" t="inlineStr"/>
    </row>
    <row r="546">
      <c r="A546" s="33" t="inlineStr">
        <is>
          <t>P12-02</t>
        </is>
      </c>
      <c r="B546" s="33" t="inlineStr">
        <is>
          <t>P12</t>
        </is>
      </c>
      <c r="C546" s="34" t="inlineStr">
        <is>
          <t>医療</t>
        </is>
      </c>
      <c r="D546" s="33" t="n">
        <v>2</v>
      </c>
      <c r="E546" s="35" t="inlineStr">
        <is>
          <t>かかりつけ小児科を決める</t>
        </is>
      </c>
      <c r="F546" s="36" t="inlineStr">
        <is>
          <t>予防接種用と病気用の受診先が決まっている</t>
        </is>
      </c>
      <c r="G546" s="36" t="inlineStr">
        <is>
          <t>予防接種用と病気用を分けるか</t>
        </is>
      </c>
      <c r="H546" s="36" t="inlineStr">
        <is>
          <t>1院にまとめる／予防接種は予約の取りやすい院、病気は近い院で分ける</t>
        </is>
      </c>
      <c r="I546" s="36" t="inlineStr">
        <is>
          <t>判断軸：予防接種の予約の取りやすさ／土曜診療／夜間の電話相談／駐車場とベビーカー動線／病児保育の併設／WEB予約の有無</t>
        </is>
      </c>
      <c r="J546" s="33" t="n">
        <v>39</v>
      </c>
      <c r="K546" s="37">
        <f>EDATE('はじめに'!$C$5,J546)</f>
        <v/>
      </c>
      <c r="L546" s="33" t="inlineStr">
        <is>
          <t>推奨</t>
        </is>
      </c>
      <c r="M546" s="33" t="inlineStr">
        <is>
          <t>2人</t>
        </is>
      </c>
      <c r="N546" s="33" t="inlineStr">
        <is>
          <t>1週間</t>
        </is>
      </c>
      <c r="O546" s="36" t="inlineStr"/>
      <c r="P546" s="36" t="inlineStr">
        <is>
          <t>1ヶ月健診</t>
        </is>
      </c>
      <c r="Q546" s="38" t="inlineStr">
        <is>
          <t>未着手</t>
        </is>
      </c>
      <c r="R546" s="28" t="inlineStr"/>
    </row>
    <row r="547" outlineLevel="1">
      <c r="A547" s="42" t="inlineStr">
        <is>
          <t>P12-02-01</t>
        </is>
      </c>
      <c r="B547" s="42" t="inlineStr">
        <is>
          <t>P12</t>
        </is>
      </c>
      <c r="C547" s="43" t="inlineStr">
        <is>
          <t>医療</t>
        </is>
      </c>
      <c r="D547" s="42" t="n">
        <v>3</v>
      </c>
      <c r="E547" s="44" t="inlineStr">
        <is>
          <t>自宅から自転車15分圏内の小児科をリストアップする</t>
        </is>
      </c>
      <c r="F547" s="45" t="inlineStr">
        <is>
          <t>リストができている</t>
        </is>
      </c>
      <c r="G547" s="45" t="inlineStr"/>
      <c r="H547" s="45" t="inlineStr"/>
      <c r="I547" s="45" t="inlineStr"/>
      <c r="J547" s="42" t="n">
        <v>39</v>
      </c>
      <c r="K547" s="46">
        <f>EDATE('はじめに'!$C$5,J547)</f>
        <v/>
      </c>
      <c r="L547" s="42" t="inlineStr">
        <is>
          <t>推奨</t>
        </is>
      </c>
      <c r="M547" s="42" t="inlineStr">
        <is>
          <t>どちらか</t>
        </is>
      </c>
      <c r="N547" s="42" t="inlineStr">
        <is>
          <t>1時間</t>
        </is>
      </c>
      <c r="O547" s="45" t="inlineStr"/>
      <c r="P547" s="45" t="inlineStr"/>
      <c r="Q547" s="38" t="inlineStr">
        <is>
          <t>未着手</t>
        </is>
      </c>
      <c r="R547" s="28" t="inlineStr"/>
    </row>
    <row r="548" outlineLevel="1">
      <c r="A548" s="39" t="inlineStr">
        <is>
          <t>P12-02-02</t>
        </is>
      </c>
      <c r="B548" s="39" t="inlineStr">
        <is>
          <t>P12</t>
        </is>
      </c>
      <c r="C548" s="22" t="inlineStr">
        <is>
          <t>医療</t>
        </is>
      </c>
      <c r="D548" s="39" t="n">
        <v>3</v>
      </c>
      <c r="E548" s="40" t="inlineStr">
        <is>
          <t>予約方法・診療時間・予防接種枠を確認する</t>
        </is>
      </c>
      <c r="F548" s="24" t="inlineStr">
        <is>
          <t>比較できている</t>
        </is>
      </c>
      <c r="G548" s="24" t="inlineStr"/>
      <c r="H548" s="24" t="inlineStr"/>
      <c r="I548" s="24" t="inlineStr"/>
      <c r="J548" s="39" t="n">
        <v>39</v>
      </c>
      <c r="K548" s="41">
        <f>EDATE('はじめに'!$C$5,J548)</f>
        <v/>
      </c>
      <c r="L548" s="39" t="inlineStr">
        <is>
          <t>推奨</t>
        </is>
      </c>
      <c r="M548" s="39" t="inlineStr">
        <is>
          <t>どちらか</t>
        </is>
      </c>
      <c r="N548" s="39" t="inlineStr">
        <is>
          <t>1時間</t>
        </is>
      </c>
      <c r="O548" s="24" t="inlineStr"/>
      <c r="P548" s="24" t="inlineStr"/>
      <c r="Q548" s="38" t="inlineStr">
        <is>
          <t>未着手</t>
        </is>
      </c>
      <c r="R548" s="28" t="inlineStr"/>
    </row>
    <row r="549" outlineLevel="1">
      <c r="A549" s="42" t="inlineStr">
        <is>
          <t>P12-02-03</t>
        </is>
      </c>
      <c r="B549" s="42" t="inlineStr">
        <is>
          <t>P12</t>
        </is>
      </c>
      <c r="C549" s="43" t="inlineStr">
        <is>
          <t>医療</t>
        </is>
      </c>
      <c r="D549" s="42" t="n">
        <v>3</v>
      </c>
      <c r="E549" s="44" t="inlineStr">
        <is>
          <t>#8000（小児救急電話相談）と夜間休日診療所を連絡先に登録する</t>
        </is>
      </c>
      <c r="F549" s="45" t="inlineStr">
        <is>
          <t>スマホと冷蔵庫に情報がある</t>
        </is>
      </c>
      <c r="G549" s="45" t="inlineStr"/>
      <c r="H549" s="45" t="inlineStr"/>
      <c r="I549" s="45" t="inlineStr"/>
      <c r="J549" s="42" t="n">
        <v>39</v>
      </c>
      <c r="K549" s="46">
        <f>EDATE('はじめに'!$C$5,J549)</f>
        <v/>
      </c>
      <c r="L549" s="42" t="inlineStr">
        <is>
          <t>推奨</t>
        </is>
      </c>
      <c r="M549" s="42" t="inlineStr">
        <is>
          <t>2人</t>
        </is>
      </c>
      <c r="N549" s="42" t="inlineStr">
        <is>
          <t>15分</t>
        </is>
      </c>
      <c r="O549" s="45" t="inlineStr"/>
      <c r="P549" s="45" t="inlineStr"/>
      <c r="Q549" s="38" t="inlineStr">
        <is>
          <t>未着手</t>
        </is>
      </c>
      <c r="R549" s="28" t="inlineStr"/>
    </row>
    <row r="550">
      <c r="A550" s="33" t="inlineStr">
        <is>
          <t>P12-03</t>
        </is>
      </c>
      <c r="B550" s="33" t="inlineStr">
        <is>
          <t>P12</t>
        </is>
      </c>
      <c r="C550" s="34" t="inlineStr">
        <is>
          <t>医療</t>
        </is>
      </c>
      <c r="D550" s="33" t="n">
        <v>2</v>
      </c>
      <c r="E550" s="35" t="inlineStr">
        <is>
          <t>予防接種スケジュールを作り、生後2ヶ月の枠を予約する</t>
        </is>
      </c>
      <c r="F550" s="36" t="inlineStr">
        <is>
          <t>1年分のスケジュール表があり、2ヶ月の予約が取れている</t>
        </is>
      </c>
      <c r="G550" s="36" t="inlineStr">
        <is>
          <t>同時接種にするか、いつ予約するか</t>
        </is>
      </c>
      <c r="H550" s="36" t="inlineStr">
        <is>
          <t>2ヶ月：ロタ①・B型肝炎①・五種混合①・小児用肺炎球菌①（同時接種）</t>
        </is>
      </c>
      <c r="I550" s="36" t="inlineStr">
        <is>
          <t>ロタ①は生後14週6日までに開始しないと生涯接種不可。1ヶ月健診の帰りに予約するのが最適。同時接種は世界標準で安全性が確認されている</t>
        </is>
      </c>
      <c r="J550" s="33" t="n">
        <v>39</v>
      </c>
      <c r="K550" s="37">
        <f>EDATE('はじめに'!$C$5,J550)</f>
        <v/>
      </c>
      <c r="L550" s="33" t="inlineStr">
        <is>
          <t>法定</t>
        </is>
      </c>
      <c r="M550" s="33" t="inlineStr">
        <is>
          <t>パートナー</t>
        </is>
      </c>
      <c r="N550" s="33" t="inlineStr">
        <is>
          <t>2時間</t>
        </is>
      </c>
      <c r="O550" s="36" t="inlineStr">
        <is>
          <t>0円（定期接種）</t>
        </is>
      </c>
      <c r="P550" s="36" t="inlineStr">
        <is>
          <t>かかりつけ小児科の決定</t>
        </is>
      </c>
      <c r="Q550" s="38" t="inlineStr">
        <is>
          <t>未着手</t>
        </is>
      </c>
      <c r="R550" s="28" t="inlineStr"/>
    </row>
    <row r="551" outlineLevel="1">
      <c r="A551" s="42" t="inlineStr">
        <is>
          <t>P12-03-01</t>
        </is>
      </c>
      <c r="B551" s="42" t="inlineStr">
        <is>
          <t>P12</t>
        </is>
      </c>
      <c r="C551" s="43" t="inlineStr">
        <is>
          <t>医療</t>
        </is>
      </c>
      <c r="D551" s="42" t="n">
        <v>3</v>
      </c>
      <c r="E551" s="44" t="inlineStr">
        <is>
          <t>1年分の接種スケジュール表を作る（月齢と間隔を計算）</t>
        </is>
      </c>
      <c r="F551" s="45" t="inlineStr">
        <is>
          <t>表ができている</t>
        </is>
      </c>
      <c r="G551" s="45" t="inlineStr"/>
      <c r="H551" s="45" t="inlineStr"/>
      <c r="I551" s="45" t="inlineStr"/>
      <c r="J551" s="42" t="n">
        <v>39</v>
      </c>
      <c r="K551" s="46">
        <f>EDATE('はじめに'!$C$5,J551)</f>
        <v/>
      </c>
      <c r="L551" s="42" t="inlineStr">
        <is>
          <t>推奨</t>
        </is>
      </c>
      <c r="M551" s="42" t="inlineStr">
        <is>
          <t>パートナー</t>
        </is>
      </c>
      <c r="N551" s="42" t="inlineStr">
        <is>
          <t>1時間</t>
        </is>
      </c>
      <c r="O551" s="45" t="inlineStr"/>
      <c r="P551" s="45" t="inlineStr"/>
      <c r="Q551" s="38" t="inlineStr">
        <is>
          <t>未着手</t>
        </is>
      </c>
      <c r="R551" s="28" t="inlineStr"/>
    </row>
    <row r="552" outlineLevel="1">
      <c r="A552" s="39" t="inlineStr">
        <is>
          <t>P12-03-02</t>
        </is>
      </c>
      <c r="B552" s="39" t="inlineStr">
        <is>
          <t>P12</t>
        </is>
      </c>
      <c r="C552" s="22" t="inlineStr">
        <is>
          <t>医療</t>
        </is>
      </c>
      <c r="D552" s="39" t="n">
        <v>3</v>
      </c>
      <c r="E552" s="40" t="inlineStr">
        <is>
          <t>生後2ヶ月ちょうどの日で予約を取る</t>
        </is>
      </c>
      <c r="F552" s="24" t="inlineStr">
        <is>
          <t>予約済み</t>
        </is>
      </c>
      <c r="G552" s="24" t="inlineStr"/>
      <c r="H552" s="24" t="inlineStr"/>
      <c r="I552" s="24" t="inlineStr"/>
      <c r="J552" s="39" t="n">
        <v>39</v>
      </c>
      <c r="K552" s="41">
        <f>EDATE('はじめに'!$C$5,J552)</f>
        <v/>
      </c>
      <c r="L552" s="39" t="inlineStr">
        <is>
          <t>法定</t>
        </is>
      </c>
      <c r="M552" s="39" t="inlineStr">
        <is>
          <t>パートナー</t>
        </is>
      </c>
      <c r="N552" s="39" t="inlineStr">
        <is>
          <t>30分</t>
        </is>
      </c>
      <c r="O552" s="24" t="inlineStr"/>
      <c r="P552" s="24" t="inlineStr"/>
      <c r="Q552" s="38" t="inlineStr">
        <is>
          <t>未着手</t>
        </is>
      </c>
      <c r="R552" s="28" t="inlineStr"/>
    </row>
    <row r="553" outlineLevel="1">
      <c r="A553" s="42" t="inlineStr">
        <is>
          <t>P12-03-03</t>
        </is>
      </c>
      <c r="B553" s="42" t="inlineStr">
        <is>
          <t>P12</t>
        </is>
      </c>
      <c r="C553" s="43" t="inlineStr">
        <is>
          <t>医療</t>
        </is>
      </c>
      <c r="D553" s="42" t="n">
        <v>3</v>
      </c>
      <c r="E553" s="44" t="inlineStr">
        <is>
          <t>接種後の発熱時の対応（何度で受診するか）を2人で確認する</t>
        </is>
      </c>
      <c r="F553" s="45" t="inlineStr">
        <is>
          <t>対応が分かっている</t>
        </is>
      </c>
      <c r="G553" s="45" t="inlineStr"/>
      <c r="H553" s="45" t="inlineStr"/>
      <c r="I553" s="45" t="inlineStr"/>
      <c r="J553" s="42" t="n">
        <v>39</v>
      </c>
      <c r="K553" s="46">
        <f>EDATE('はじめに'!$C$5,J553)</f>
        <v/>
      </c>
      <c r="L553" s="42" t="inlineStr">
        <is>
          <t>推奨</t>
        </is>
      </c>
      <c r="M553" s="42" t="inlineStr">
        <is>
          <t>2人</t>
        </is>
      </c>
      <c r="N553" s="42" t="inlineStr">
        <is>
          <t>15分</t>
        </is>
      </c>
      <c r="O553" s="45" t="inlineStr"/>
      <c r="P553" s="45" t="inlineStr"/>
      <c r="Q553" s="38" t="inlineStr">
        <is>
          <t>未着手</t>
        </is>
      </c>
      <c r="R553" s="28" t="inlineStr"/>
    </row>
    <row r="554">
      <c r="A554" s="33" t="inlineStr">
        <is>
          <t>P12-04</t>
        </is>
      </c>
      <c r="B554" s="33" t="inlineStr">
        <is>
          <t>P12</t>
        </is>
      </c>
      <c r="C554" s="34" t="inlineStr">
        <is>
          <t>医療</t>
        </is>
      </c>
      <c r="D554" s="33" t="n">
        <v>2</v>
      </c>
      <c r="E554" s="35" t="inlineStr">
        <is>
          <t>予防接種を実行する（2・3・4ヶ月）</t>
        </is>
      </c>
      <c r="F554" s="36" t="inlineStr">
        <is>
          <t>母子手帳に記録され、次の予約も入っている</t>
        </is>
      </c>
      <c r="G554" s="36" t="inlineStr"/>
      <c r="H554" s="36" t="inlineStr"/>
      <c r="I554" s="36" t="inlineStr"/>
      <c r="J554" s="33" t="n">
        <v>40</v>
      </c>
      <c r="K554" s="37">
        <f>EDATE('はじめに'!$C$5,J554)</f>
        <v/>
      </c>
      <c r="L554" s="33" t="inlineStr">
        <is>
          <t>法定</t>
        </is>
      </c>
      <c r="M554" s="33" t="inlineStr">
        <is>
          <t>2人</t>
        </is>
      </c>
      <c r="N554" s="33" t="inlineStr">
        <is>
          <t>継続</t>
        </is>
      </c>
      <c r="O554" s="36" t="inlineStr"/>
      <c r="P554" s="36" t="inlineStr">
        <is>
          <t>予防接種の予約</t>
        </is>
      </c>
      <c r="Q554" s="38" t="inlineStr">
        <is>
          <t>未着手</t>
        </is>
      </c>
      <c r="R554" s="28" t="inlineStr"/>
    </row>
    <row r="555" outlineLevel="1">
      <c r="A555" s="42" t="inlineStr">
        <is>
          <t>P12-04-01</t>
        </is>
      </c>
      <c r="B555" s="42" t="inlineStr">
        <is>
          <t>P12</t>
        </is>
      </c>
      <c r="C555" s="43" t="inlineStr">
        <is>
          <t>医療</t>
        </is>
      </c>
      <c r="D555" s="42" t="n">
        <v>3</v>
      </c>
      <c r="E555" s="44" t="inlineStr">
        <is>
          <t>生後2ヶ月：ロタ①・B型肝炎①・五種混合①・肺炎球菌①</t>
        </is>
      </c>
      <c r="F555" s="45" t="inlineStr">
        <is>
          <t>接種済み</t>
        </is>
      </c>
      <c r="G555" s="45" t="inlineStr"/>
      <c r="H555" s="45" t="inlineStr"/>
      <c r="I555" s="45" t="inlineStr"/>
      <c r="J555" s="42" t="n">
        <v>39</v>
      </c>
      <c r="K555" s="46">
        <f>EDATE('はじめに'!$C$5,J555)</f>
        <v/>
      </c>
      <c r="L555" s="42" t="inlineStr">
        <is>
          <t>法定</t>
        </is>
      </c>
      <c r="M555" s="42" t="inlineStr">
        <is>
          <t>2人</t>
        </is>
      </c>
      <c r="N555" s="42" t="inlineStr">
        <is>
          <t>半日</t>
        </is>
      </c>
      <c r="O555" s="45" t="inlineStr"/>
      <c r="P555" s="45" t="inlineStr"/>
      <c r="Q555" s="38" t="inlineStr">
        <is>
          <t>未着手</t>
        </is>
      </c>
      <c r="R555" s="28" t="inlineStr"/>
    </row>
    <row r="556" outlineLevel="1">
      <c r="A556" s="39" t="inlineStr">
        <is>
          <t>P12-04-02</t>
        </is>
      </c>
      <c r="B556" s="39" t="inlineStr">
        <is>
          <t>P12</t>
        </is>
      </c>
      <c r="C556" s="22" t="inlineStr">
        <is>
          <t>医療</t>
        </is>
      </c>
      <c r="D556" s="39" t="n">
        <v>3</v>
      </c>
      <c r="E556" s="40" t="inlineStr">
        <is>
          <t>生後3ヶ月：ロタ②・B型肝炎②・五種混合②・肺炎球菌②（前回から27日以上）</t>
        </is>
      </c>
      <c r="F556" s="24" t="inlineStr">
        <is>
          <t>接種済み</t>
        </is>
      </c>
      <c r="G556" s="24" t="inlineStr"/>
      <c r="H556" s="24" t="inlineStr"/>
      <c r="I556" s="24" t="inlineStr"/>
      <c r="J556" s="39" t="n">
        <v>40</v>
      </c>
      <c r="K556" s="41">
        <f>EDATE('はじめに'!$C$5,J556)</f>
        <v/>
      </c>
      <c r="L556" s="39" t="inlineStr">
        <is>
          <t>法定</t>
        </is>
      </c>
      <c r="M556" s="39" t="inlineStr">
        <is>
          <t>2人</t>
        </is>
      </c>
      <c r="N556" s="39" t="inlineStr">
        <is>
          <t>半日</t>
        </is>
      </c>
      <c r="O556" s="24" t="inlineStr"/>
      <c r="P556" s="24" t="inlineStr"/>
      <c r="Q556" s="38" t="inlineStr">
        <is>
          <t>未着手</t>
        </is>
      </c>
      <c r="R556" s="28" t="inlineStr"/>
    </row>
    <row r="557" outlineLevel="1">
      <c r="A557" s="42" t="inlineStr">
        <is>
          <t>P12-04-03</t>
        </is>
      </c>
      <c r="B557" s="42" t="inlineStr">
        <is>
          <t>P12</t>
        </is>
      </c>
      <c r="C557" s="43" t="inlineStr">
        <is>
          <t>医療</t>
        </is>
      </c>
      <c r="D557" s="42" t="n">
        <v>3</v>
      </c>
      <c r="E557" s="44" t="inlineStr">
        <is>
          <t>生後4ヶ月：ロタ③（ロタテックの場合）・五種混合③・肺炎球菌③</t>
        </is>
      </c>
      <c r="F557" s="45" t="inlineStr">
        <is>
          <t>接種済み</t>
        </is>
      </c>
      <c r="G557" s="45" t="inlineStr"/>
      <c r="H557" s="45" t="inlineStr"/>
      <c r="I557" s="45" t="inlineStr"/>
      <c r="J557" s="42" t="n">
        <v>41</v>
      </c>
      <c r="K557" s="46">
        <f>EDATE('はじめに'!$C$5,J557)</f>
        <v/>
      </c>
      <c r="L557" s="42" t="inlineStr">
        <is>
          <t>法定</t>
        </is>
      </c>
      <c r="M557" s="42" t="inlineStr">
        <is>
          <t>2人</t>
        </is>
      </c>
      <c r="N557" s="42" t="inlineStr">
        <is>
          <t>半日</t>
        </is>
      </c>
      <c r="O557" s="45" t="inlineStr"/>
      <c r="P557" s="45" t="inlineStr"/>
      <c r="Q557" s="38" t="inlineStr">
        <is>
          <t>未着手</t>
        </is>
      </c>
      <c r="R557" s="28" t="inlineStr"/>
    </row>
    <row r="558" outlineLevel="1">
      <c r="A558" s="39" t="inlineStr">
        <is>
          <t>P12-04-04</t>
        </is>
      </c>
      <c r="B558" s="39" t="inlineStr">
        <is>
          <t>P12</t>
        </is>
      </c>
      <c r="C558" s="22" t="inlineStr">
        <is>
          <t>医療</t>
        </is>
      </c>
      <c r="D558" s="39" t="n">
        <v>3</v>
      </c>
      <c r="E558" s="40" t="inlineStr">
        <is>
          <t>接種のたびに母子手帳の記録と次回予約を確認する</t>
        </is>
      </c>
      <c r="F558" s="24" t="inlineStr">
        <is>
          <t>抜けがない</t>
        </is>
      </c>
      <c r="G558" s="24" t="inlineStr"/>
      <c r="H558" s="24" t="inlineStr"/>
      <c r="I558" s="24" t="inlineStr"/>
      <c r="J558" s="39" t="n">
        <v>41</v>
      </c>
      <c r="K558" s="41">
        <f>EDATE('はじめに'!$C$5,J558)</f>
        <v/>
      </c>
      <c r="L558" s="39" t="inlineStr">
        <is>
          <t>推奨</t>
        </is>
      </c>
      <c r="M558" s="39" t="inlineStr">
        <is>
          <t>2人</t>
        </is>
      </c>
      <c r="N558" s="39" t="inlineStr">
        <is>
          <t>継続</t>
        </is>
      </c>
      <c r="O558" s="24" t="inlineStr"/>
      <c r="P558" s="24" t="inlineStr"/>
      <c r="Q558" s="38" t="inlineStr">
        <is>
          <t>未着手</t>
        </is>
      </c>
      <c r="R558" s="28" t="inlineStr"/>
    </row>
    <row r="559">
      <c r="A559" s="33" t="inlineStr">
        <is>
          <t>P12-05</t>
        </is>
      </c>
      <c r="B559" s="33" t="inlineStr">
        <is>
          <t>P12</t>
        </is>
      </c>
      <c r="C559" s="34" t="inlineStr">
        <is>
          <t>医療</t>
        </is>
      </c>
      <c r="D559" s="33" t="n">
        <v>2</v>
      </c>
      <c r="E559" s="35" t="inlineStr">
        <is>
          <t>健診とBCGを受ける</t>
        </is>
      </c>
      <c r="F559" s="36" t="inlineStr">
        <is>
          <t>3-4ヶ月健診とBCGが完了している</t>
        </is>
      </c>
      <c r="G559" s="36" t="inlineStr"/>
      <c r="H559" s="36" t="inlineStr"/>
      <c r="I559" s="36" t="inlineStr"/>
      <c r="J559" s="33" t="n">
        <v>41</v>
      </c>
      <c r="K559" s="37">
        <f>EDATE('はじめに'!$C$5,J559)</f>
        <v/>
      </c>
      <c r="L559" s="33" t="inlineStr">
        <is>
          <t>推奨</t>
        </is>
      </c>
      <c r="M559" s="33" t="inlineStr">
        <is>
          <t>2人</t>
        </is>
      </c>
      <c r="N559" s="33" t="inlineStr">
        <is>
          <t>継続</t>
        </is>
      </c>
      <c r="O559" s="36" t="inlineStr">
        <is>
          <t>0円</t>
        </is>
      </c>
      <c r="P559" s="36" t="inlineStr">
        <is>
          <t>予防接種の実行</t>
        </is>
      </c>
      <c r="Q559" s="38" t="inlineStr">
        <is>
          <t>未着手</t>
        </is>
      </c>
      <c r="R559" s="28" t="inlineStr"/>
    </row>
    <row r="560" outlineLevel="1">
      <c r="A560" s="39" t="inlineStr">
        <is>
          <t>P12-05-01</t>
        </is>
      </c>
      <c r="B560" s="39" t="inlineStr">
        <is>
          <t>P12</t>
        </is>
      </c>
      <c r="C560" s="22" t="inlineStr">
        <is>
          <t>医療</t>
        </is>
      </c>
      <c r="D560" s="39" t="n">
        <v>3</v>
      </c>
      <c r="E560" s="40" t="inlineStr">
        <is>
          <t>3〜4ヶ月児健診を受ける（問診票は事前記入）</t>
        </is>
      </c>
      <c r="F560" s="24" t="inlineStr">
        <is>
          <t>受診済み</t>
        </is>
      </c>
      <c r="G560" s="24" t="inlineStr"/>
      <c r="H560" s="24" t="inlineStr"/>
      <c r="I560" s="24" t="inlineStr"/>
      <c r="J560" s="39" t="n">
        <v>41</v>
      </c>
      <c r="K560" s="41">
        <f>EDATE('はじめに'!$C$5,J560)</f>
        <v/>
      </c>
      <c r="L560" s="39" t="inlineStr">
        <is>
          <t>推奨</t>
        </is>
      </c>
      <c r="M560" s="39" t="inlineStr">
        <is>
          <t>2人</t>
        </is>
      </c>
      <c r="N560" s="39" t="inlineStr">
        <is>
          <t>半日</t>
        </is>
      </c>
      <c r="O560" s="24" t="inlineStr"/>
      <c r="P560" s="24" t="inlineStr"/>
      <c r="Q560" s="38" t="inlineStr">
        <is>
          <t>未着手</t>
        </is>
      </c>
      <c r="R560" s="28" t="inlineStr"/>
    </row>
    <row r="561" outlineLevel="1">
      <c r="A561" s="42" t="inlineStr">
        <is>
          <t>P12-05-02</t>
        </is>
      </c>
      <c r="B561" s="42" t="inlineStr">
        <is>
          <t>P12</t>
        </is>
      </c>
      <c r="C561" s="43" t="inlineStr">
        <is>
          <t>医療</t>
        </is>
      </c>
      <c r="D561" s="42" t="n">
        <v>3</v>
      </c>
      <c r="E561" s="44" t="inlineStr">
        <is>
          <t>BCG接種（標準は生後5〜8ヶ月未満、1歳未満が期限）</t>
        </is>
      </c>
      <c r="F561" s="45" t="inlineStr">
        <is>
          <t>接種済み</t>
        </is>
      </c>
      <c r="G561" s="45" t="inlineStr"/>
      <c r="H561" s="45" t="inlineStr"/>
      <c r="I561" s="45" t="inlineStr"/>
      <c r="J561" s="42" t="n">
        <v>42</v>
      </c>
      <c r="K561" s="46">
        <f>EDATE('はじめに'!$C$5,J561)</f>
        <v/>
      </c>
      <c r="L561" s="42" t="inlineStr">
        <is>
          <t>法定</t>
        </is>
      </c>
      <c r="M561" s="42" t="inlineStr">
        <is>
          <t>2人</t>
        </is>
      </c>
      <c r="N561" s="42" t="inlineStr">
        <is>
          <t>半日</t>
        </is>
      </c>
      <c r="O561" s="45" t="inlineStr"/>
      <c r="P561" s="45" t="inlineStr"/>
      <c r="Q561" s="38" t="inlineStr">
        <is>
          <t>未着手</t>
        </is>
      </c>
      <c r="R561" s="28" t="inlineStr"/>
    </row>
    <row r="562" outlineLevel="1">
      <c r="A562" s="39" t="inlineStr">
        <is>
          <t>P12-05-03</t>
        </is>
      </c>
      <c r="B562" s="39" t="inlineStr">
        <is>
          <t>P12</t>
        </is>
      </c>
      <c r="C562" s="22" t="inlineStr">
        <is>
          <t>医療</t>
        </is>
      </c>
      <c r="D562" s="39" t="n">
        <v>3</v>
      </c>
      <c r="E562" s="40" t="inlineStr">
        <is>
          <t>乳児家庭全戸訪問（こんにちは赤ちゃん事業）を受ける</t>
        </is>
      </c>
      <c r="F562" s="24" t="inlineStr">
        <is>
          <t>訪問済み</t>
        </is>
      </c>
      <c r="G562" s="24" t="inlineStr"/>
      <c r="H562" s="24" t="inlineStr"/>
      <c r="I562" s="24" t="inlineStr"/>
      <c r="J562" s="39" t="n">
        <v>41</v>
      </c>
      <c r="K562" s="41">
        <f>EDATE('はじめに'!$C$5,J562)</f>
        <v/>
      </c>
      <c r="L562" s="39" t="inlineStr">
        <is>
          <t>推奨</t>
        </is>
      </c>
      <c r="M562" s="39" t="inlineStr">
        <is>
          <t>妊娠する側</t>
        </is>
      </c>
      <c r="N562" s="39" t="inlineStr">
        <is>
          <t>2時間</t>
        </is>
      </c>
      <c r="O562" s="24" t="inlineStr"/>
      <c r="P562" s="24" t="inlineStr"/>
      <c r="Q562" s="38" t="inlineStr">
        <is>
          <t>未着手</t>
        </is>
      </c>
      <c r="R562" s="28" t="inlineStr"/>
    </row>
    <row r="563">
      <c r="A563" s="33" t="inlineStr">
        <is>
          <t>P12-06</t>
        </is>
      </c>
      <c r="B563" s="33" t="inlineStr">
        <is>
          <t>P12</t>
        </is>
      </c>
      <c r="C563" s="34" t="inlineStr">
        <is>
          <t>育児</t>
        </is>
      </c>
      <c r="D563" s="33" t="n">
        <v>2</v>
      </c>
      <c r="E563" s="35" t="inlineStr">
        <is>
          <t>生活リズムを固定する</t>
        </is>
      </c>
      <c r="F563" s="36" t="inlineStr">
        <is>
          <t>起床・昼寝・入浴・就寝の時刻がほぼ一定になっている</t>
        </is>
      </c>
      <c r="G563" s="36" t="inlineStr"/>
      <c r="H563" s="36" t="inlineStr"/>
      <c r="I563" s="36" t="inlineStr"/>
      <c r="J563" s="33" t="n">
        <v>40</v>
      </c>
      <c r="K563" s="37">
        <f>EDATE('はじめに'!$C$5,J563)</f>
        <v/>
      </c>
      <c r="L563" s="33" t="inlineStr">
        <is>
          <t>推奨</t>
        </is>
      </c>
      <c r="M563" s="33" t="inlineStr">
        <is>
          <t>2人</t>
        </is>
      </c>
      <c r="N563" s="33" t="inlineStr">
        <is>
          <t>継続</t>
        </is>
      </c>
      <c r="O563" s="36" t="inlineStr"/>
      <c r="P563" s="36" t="inlineStr">
        <is>
          <t>1ヶ月健診</t>
        </is>
      </c>
      <c r="Q563" s="38" t="inlineStr">
        <is>
          <t>未着手</t>
        </is>
      </c>
      <c r="R563" s="28" t="inlineStr"/>
    </row>
    <row r="564" outlineLevel="1">
      <c r="A564" s="39" t="inlineStr">
        <is>
          <t>P12-06-01</t>
        </is>
      </c>
      <c r="B564" s="39" t="inlineStr">
        <is>
          <t>P12</t>
        </is>
      </c>
      <c r="C564" s="22" t="inlineStr">
        <is>
          <t>育児</t>
        </is>
      </c>
      <c r="D564" s="39" t="n">
        <v>3</v>
      </c>
      <c r="E564" s="40" t="inlineStr">
        <is>
          <t>朝はカーテンを開け、夜は暗く静かにする</t>
        </is>
      </c>
      <c r="F564" s="24" t="inlineStr">
        <is>
          <t>昼夜の区別ができている</t>
        </is>
      </c>
      <c r="G564" s="24" t="inlineStr"/>
      <c r="H564" s="24" t="inlineStr"/>
      <c r="I564" s="24" t="inlineStr"/>
      <c r="J564" s="39" t="n">
        <v>40</v>
      </c>
      <c r="K564" s="41">
        <f>EDATE('はじめに'!$C$5,J564)</f>
        <v/>
      </c>
      <c r="L564" s="39" t="inlineStr">
        <is>
          <t>推奨</t>
        </is>
      </c>
      <c r="M564" s="39" t="inlineStr">
        <is>
          <t>2人</t>
        </is>
      </c>
      <c r="N564" s="39" t="inlineStr">
        <is>
          <t>継続</t>
        </is>
      </c>
      <c r="O564" s="24" t="inlineStr"/>
      <c r="P564" s="24" t="inlineStr"/>
      <c r="Q564" s="38" t="inlineStr">
        <is>
          <t>未着手</t>
        </is>
      </c>
      <c r="R564" s="28" t="inlineStr"/>
    </row>
    <row r="565" outlineLevel="1">
      <c r="A565" s="42" t="inlineStr">
        <is>
          <t>P12-06-02</t>
        </is>
      </c>
      <c r="B565" s="42" t="inlineStr">
        <is>
          <t>P12</t>
        </is>
      </c>
      <c r="C565" s="43" t="inlineStr">
        <is>
          <t>育児</t>
        </is>
      </c>
      <c r="D565" s="42" t="n">
        <v>3</v>
      </c>
      <c r="E565" s="44" t="inlineStr">
        <is>
          <t>入浴と就寝の時刻を固定する</t>
        </is>
      </c>
      <c r="F565" s="45" t="inlineStr">
        <is>
          <t>毎日同じ時刻になっている</t>
        </is>
      </c>
      <c r="G565" s="45" t="inlineStr"/>
      <c r="H565" s="45" t="inlineStr"/>
      <c r="I565" s="45" t="inlineStr"/>
      <c r="J565" s="42" t="n">
        <v>40</v>
      </c>
      <c r="K565" s="46">
        <f>EDATE('はじめに'!$C$5,J565)</f>
        <v/>
      </c>
      <c r="L565" s="42" t="inlineStr">
        <is>
          <t>推奨</t>
        </is>
      </c>
      <c r="M565" s="42" t="inlineStr">
        <is>
          <t>2人</t>
        </is>
      </c>
      <c r="N565" s="42" t="inlineStr">
        <is>
          <t>継続</t>
        </is>
      </c>
      <c r="O565" s="45" t="inlineStr"/>
      <c r="P565" s="45" t="inlineStr"/>
      <c r="Q565" s="38" t="inlineStr">
        <is>
          <t>未着手</t>
        </is>
      </c>
      <c r="R565" s="28" t="inlineStr"/>
    </row>
    <row r="566" outlineLevel="1">
      <c r="A566" s="39" t="inlineStr">
        <is>
          <t>P12-06-03</t>
        </is>
      </c>
      <c r="B566" s="39" t="inlineStr">
        <is>
          <t>P12</t>
        </is>
      </c>
      <c r="C566" s="22" t="inlineStr">
        <is>
          <t>育児</t>
        </is>
      </c>
      <c r="D566" s="39" t="n">
        <v>3</v>
      </c>
      <c r="E566" s="40" t="inlineStr">
        <is>
          <t>4ヶ月頃の睡眠退行に備えて、対応を事前に決めておく</t>
        </is>
      </c>
      <c r="F566" s="24" t="inlineStr">
        <is>
          <t>焦らない準備ができている</t>
        </is>
      </c>
      <c r="G566" s="24" t="inlineStr"/>
      <c r="H566" s="24" t="inlineStr"/>
      <c r="I566" s="24" t="inlineStr"/>
      <c r="J566" s="39" t="n">
        <v>41</v>
      </c>
      <c r="K566" s="41">
        <f>EDATE('はじめに'!$C$5,J566)</f>
        <v/>
      </c>
      <c r="L566" s="39" t="inlineStr">
        <is>
          <t>任意</t>
        </is>
      </c>
      <c r="M566" s="39" t="inlineStr">
        <is>
          <t>2人</t>
        </is>
      </c>
      <c r="N566" s="39" t="inlineStr">
        <is>
          <t>30分</t>
        </is>
      </c>
      <c r="O566" s="24" t="inlineStr"/>
      <c r="P566" s="24" t="inlineStr"/>
      <c r="Q566" s="38" t="inlineStr">
        <is>
          <t>未着手</t>
        </is>
      </c>
      <c r="R566" s="28" t="inlineStr"/>
    </row>
    <row r="567" outlineLevel="1">
      <c r="A567" s="42" t="inlineStr">
        <is>
          <t>P12-06-04</t>
        </is>
      </c>
      <c r="B567" s="42" t="inlineStr">
        <is>
          <t>P12</t>
        </is>
      </c>
      <c r="C567" s="43" t="inlineStr">
        <is>
          <t>育児</t>
        </is>
      </c>
      <c r="D567" s="42" t="n">
        <v>3</v>
      </c>
      <c r="E567" s="44" t="inlineStr">
        <is>
          <t>外気浴から短時間の散歩を始める</t>
        </is>
      </c>
      <c r="F567" s="45" t="inlineStr">
        <is>
          <t>外出できている</t>
        </is>
      </c>
      <c r="G567" s="45" t="inlineStr"/>
      <c r="H567" s="45" t="inlineStr"/>
      <c r="I567" s="45" t="inlineStr"/>
      <c r="J567" s="42" t="n">
        <v>39</v>
      </c>
      <c r="K567" s="46">
        <f>EDATE('はじめに'!$C$5,J567)</f>
        <v/>
      </c>
      <c r="L567" s="42" t="inlineStr">
        <is>
          <t>推奨</t>
        </is>
      </c>
      <c r="M567" s="42" t="inlineStr">
        <is>
          <t>2人</t>
        </is>
      </c>
      <c r="N567" s="42" t="inlineStr">
        <is>
          <t>継続</t>
        </is>
      </c>
      <c r="O567" s="45" t="inlineStr"/>
      <c r="P567" s="45" t="inlineStr"/>
      <c r="Q567" s="38" t="inlineStr">
        <is>
          <t>未着手</t>
        </is>
      </c>
      <c r="R567" s="28" t="inlineStr"/>
    </row>
    <row r="568">
      <c r="A568" s="33" t="inlineStr">
        <is>
          <t>P12-07</t>
        </is>
      </c>
      <c r="B568" s="33" t="inlineStr">
        <is>
          <t>P12</t>
        </is>
      </c>
      <c r="C568" s="34" t="inlineStr">
        <is>
          <t>安全</t>
        </is>
      </c>
      <c r="D568" s="33" t="n">
        <v>2</v>
      </c>
      <c r="E568" s="35" t="inlineStr">
        <is>
          <t>寝返り前に部屋を安全化する</t>
        </is>
      </c>
      <c r="F568" s="36" t="inlineStr">
        <is>
          <t>転落・窒息のリスクが排除されている</t>
        </is>
      </c>
      <c r="G568" s="36" t="inlineStr"/>
      <c r="H568" s="36" t="inlineStr"/>
      <c r="I568" s="36" t="inlineStr"/>
      <c r="J568" s="33" t="n">
        <v>41</v>
      </c>
      <c r="K568" s="37">
        <f>EDATE('はじめに'!$C$5,J568)</f>
        <v/>
      </c>
      <c r="L568" s="33" t="inlineStr">
        <is>
          <t>推奨</t>
        </is>
      </c>
      <c r="M568" s="33" t="inlineStr">
        <is>
          <t>2人</t>
        </is>
      </c>
      <c r="N568" s="33" t="inlineStr">
        <is>
          <t>半日</t>
        </is>
      </c>
      <c r="O568" s="36" t="inlineStr">
        <is>
          <t>1〜3万円</t>
        </is>
      </c>
      <c r="P568" s="36" t="inlineStr"/>
      <c r="Q568" s="38" t="inlineStr">
        <is>
          <t>未着手</t>
        </is>
      </c>
      <c r="R568" s="28" t="inlineStr"/>
    </row>
    <row r="569" outlineLevel="1">
      <c r="A569" s="42" t="inlineStr">
        <is>
          <t>P12-07-01</t>
        </is>
      </c>
      <c r="B569" s="42" t="inlineStr">
        <is>
          <t>P12</t>
        </is>
      </c>
      <c r="C569" s="43" t="inlineStr">
        <is>
          <t>安全</t>
        </is>
      </c>
      <c r="D569" s="42" t="n">
        <v>3</v>
      </c>
      <c r="E569" s="44" t="inlineStr">
        <is>
          <t>ベッド・ソファからの転落経路を潰す</t>
        </is>
      </c>
      <c r="F569" s="45" t="inlineStr">
        <is>
          <t>落ちる場所がない</t>
        </is>
      </c>
      <c r="G569" s="45" t="inlineStr"/>
      <c r="H569" s="45" t="inlineStr"/>
      <c r="I569" s="45" t="inlineStr"/>
      <c r="J569" s="42" t="n">
        <v>41</v>
      </c>
      <c r="K569" s="46">
        <f>EDATE('はじめに'!$C$5,J569)</f>
        <v/>
      </c>
      <c r="L569" s="42" t="inlineStr">
        <is>
          <t>推奨</t>
        </is>
      </c>
      <c r="M569" s="42" t="inlineStr">
        <is>
          <t>2人</t>
        </is>
      </c>
      <c r="N569" s="42" t="inlineStr">
        <is>
          <t>1時間</t>
        </is>
      </c>
      <c r="O569" s="45" t="inlineStr"/>
      <c r="P569" s="45" t="inlineStr"/>
      <c r="Q569" s="38" t="inlineStr">
        <is>
          <t>未着手</t>
        </is>
      </c>
      <c r="R569" s="28" t="inlineStr"/>
    </row>
    <row r="570" outlineLevel="1">
      <c r="A570" s="39" t="inlineStr">
        <is>
          <t>P12-07-02</t>
        </is>
      </c>
      <c r="B570" s="39" t="inlineStr">
        <is>
          <t>P12</t>
        </is>
      </c>
      <c r="C570" s="22" t="inlineStr">
        <is>
          <t>安全</t>
        </is>
      </c>
      <c r="D570" s="39" t="n">
        <v>3</v>
      </c>
      <c r="E570" s="40" t="inlineStr">
        <is>
          <t>顔まわりの窒息物（タオル・ぬいぐるみ・スタイ）を寝床から撤去する</t>
        </is>
      </c>
      <c r="F570" s="24" t="inlineStr">
        <is>
          <t>寝床に何もない</t>
        </is>
      </c>
      <c r="G570" s="24" t="inlineStr"/>
      <c r="H570" s="24" t="inlineStr"/>
      <c r="I570" s="24" t="inlineStr"/>
      <c r="J570" s="39" t="n">
        <v>41</v>
      </c>
      <c r="K570" s="41">
        <f>EDATE('はじめに'!$C$5,J570)</f>
        <v/>
      </c>
      <c r="L570" s="39" t="inlineStr">
        <is>
          <t>推奨</t>
        </is>
      </c>
      <c r="M570" s="39" t="inlineStr">
        <is>
          <t>2人</t>
        </is>
      </c>
      <c r="N570" s="39" t="inlineStr">
        <is>
          <t>30分</t>
        </is>
      </c>
      <c r="O570" s="24" t="inlineStr"/>
      <c r="P570" s="24" t="inlineStr"/>
      <c r="Q570" s="38" t="inlineStr">
        <is>
          <t>未着手</t>
        </is>
      </c>
      <c r="R570" s="28" t="inlineStr"/>
    </row>
    <row r="571" outlineLevel="1">
      <c r="A571" s="42" t="inlineStr">
        <is>
          <t>P12-07-03</t>
        </is>
      </c>
      <c r="B571" s="42" t="inlineStr">
        <is>
          <t>P12</t>
        </is>
      </c>
      <c r="C571" s="43" t="inlineStr">
        <is>
          <t>安全</t>
        </is>
      </c>
      <c r="D571" s="42" t="n">
        <v>3</v>
      </c>
      <c r="E571" s="44" t="inlineStr">
        <is>
          <t>床にジョイントマットを敷く</t>
        </is>
      </c>
      <c r="F571" s="45" t="inlineStr">
        <is>
          <t>敷いてある</t>
        </is>
      </c>
      <c r="G571" s="45" t="inlineStr"/>
      <c r="H571" s="45" t="inlineStr"/>
      <c r="I571" s="45" t="inlineStr"/>
      <c r="J571" s="42" t="n">
        <v>41</v>
      </c>
      <c r="K571" s="46">
        <f>EDATE('はじめに'!$C$5,J571)</f>
        <v/>
      </c>
      <c r="L571" s="42" t="inlineStr">
        <is>
          <t>任意</t>
        </is>
      </c>
      <c r="M571" s="42" t="inlineStr">
        <is>
          <t>2人</t>
        </is>
      </c>
      <c r="N571" s="42" t="inlineStr">
        <is>
          <t>2時間</t>
        </is>
      </c>
      <c r="O571" s="45" t="inlineStr"/>
      <c r="P571" s="45" t="inlineStr"/>
      <c r="Q571" s="38" t="inlineStr">
        <is>
          <t>未着手</t>
        </is>
      </c>
      <c r="R571" s="28" t="inlineStr"/>
    </row>
    <row r="572">
      <c r="A572" s="33" t="inlineStr">
        <is>
          <t>P12-08</t>
        </is>
      </c>
      <c r="B572" s="33" t="inlineStr">
        <is>
          <t>P12</t>
        </is>
      </c>
      <c r="C572" s="34" t="inlineStr">
        <is>
          <t>離乳食</t>
        </is>
      </c>
      <c r="D572" s="33" t="n">
        <v>2</v>
      </c>
      <c r="E572" s="35" t="inlineStr">
        <is>
          <t>離乳食のメーカー（ベビーフード）を決める</t>
        </is>
      </c>
      <c r="F572" s="36" t="inlineStr">
        <is>
          <t>手作りと市販の比率が決まり、常備品がある</t>
        </is>
      </c>
      <c r="G572" s="36" t="inlineStr">
        <is>
          <t>手作りとベビーフードの比率をどうするか</t>
        </is>
      </c>
      <c r="H572" s="36" t="inlineStr">
        <is>
          <t>レトルト・瓶：和光堂（グーグーキッチン／はじめての離乳食）／キユーピー（瓶詰の定番）／ピジョン／明治／森永　冷凍：コープ（産直うらごし野菜キューブ・白身魚の刻みが優秀）／the kindest／Homeal　その他：グリコ（1歳からの幼児食）／無印良品</t>
        </is>
      </c>
      <c r="I572" s="36" t="inlineStr">
        <is>
          <t>手作りが偉いわけではない。市販品のほうが栄養設計と衛生管理は安定している。判断軸：月齢区分の細かさ／アレルゲン表示／常温保存できるか（外出用）／冷凍キューブは下ごしらえの時短として優秀／価格（1食100〜250円）。和光堂・キユーピーを数種類試し、コープの冷凍キューブを併用する型が最も現実的</t>
        </is>
      </c>
      <c r="J572" s="33" t="n">
        <v>42</v>
      </c>
      <c r="K572" s="37">
        <f>EDATE('はじめに'!$C$5,J572)</f>
        <v/>
      </c>
      <c r="L572" s="33" t="inlineStr">
        <is>
          <t>推奨</t>
        </is>
      </c>
      <c r="M572" s="33" t="inlineStr">
        <is>
          <t>2人</t>
        </is>
      </c>
      <c r="N572" s="33" t="inlineStr">
        <is>
          <t>1週間</t>
        </is>
      </c>
      <c r="O572" s="36" t="inlineStr">
        <is>
          <t>月3,000〜1万円</t>
        </is>
      </c>
      <c r="P572" s="36" t="inlineStr"/>
      <c r="Q572" s="38" t="inlineStr">
        <is>
          <t>未着手</t>
        </is>
      </c>
      <c r="R572" s="28" t="inlineStr"/>
    </row>
    <row r="573" outlineLevel="1">
      <c r="A573" s="42" t="inlineStr">
        <is>
          <t>P12-08-01</t>
        </is>
      </c>
      <c r="B573" s="42" t="inlineStr">
        <is>
          <t>P12</t>
        </is>
      </c>
      <c r="C573" s="43" t="inlineStr">
        <is>
          <t>離乳食</t>
        </is>
      </c>
      <c r="D573" s="42" t="n">
        <v>3</v>
      </c>
      <c r="E573" s="44" t="inlineStr">
        <is>
          <t>和光堂・キユーピーのはじめての離乳食シリーズを数種類買って試す</t>
        </is>
      </c>
      <c r="F573" s="45" t="inlineStr">
        <is>
          <t>受け付けるものが分かっている</t>
        </is>
      </c>
      <c r="G573" s="45" t="inlineStr"/>
      <c r="H573" s="45" t="inlineStr"/>
      <c r="I573" s="45" t="inlineStr"/>
      <c r="J573" s="42" t="n">
        <v>42</v>
      </c>
      <c r="K573" s="46">
        <f>EDATE('はじめに'!$C$5,J573)</f>
        <v/>
      </c>
      <c r="L573" s="42" t="inlineStr">
        <is>
          <t>推奨</t>
        </is>
      </c>
      <c r="M573" s="42" t="inlineStr">
        <is>
          <t>2人</t>
        </is>
      </c>
      <c r="N573" s="42" t="inlineStr">
        <is>
          <t>1時間</t>
        </is>
      </c>
      <c r="O573" s="45" t="inlineStr"/>
      <c r="P573" s="45" t="inlineStr"/>
      <c r="Q573" s="38" t="inlineStr">
        <is>
          <t>未着手</t>
        </is>
      </c>
      <c r="R573" s="28" t="inlineStr"/>
    </row>
    <row r="574" outlineLevel="1">
      <c r="A574" s="39" t="inlineStr">
        <is>
          <t>P12-08-02</t>
        </is>
      </c>
      <c r="B574" s="39" t="inlineStr">
        <is>
          <t>P12</t>
        </is>
      </c>
      <c r="C574" s="22" t="inlineStr">
        <is>
          <t>離乳食</t>
        </is>
      </c>
      <c r="D574" s="39" t="n">
        <v>3</v>
      </c>
      <c r="E574" s="40" t="inlineStr">
        <is>
          <t>コープ等の冷凍うらごし野菜キューブを試す（下ごしらえの時短）</t>
        </is>
      </c>
      <c r="F574" s="24" t="inlineStr">
        <is>
          <t>使い勝手が分かっている</t>
        </is>
      </c>
      <c r="G574" s="24" t="inlineStr"/>
      <c r="H574" s="24" t="inlineStr"/>
      <c r="I574" s="24" t="inlineStr"/>
      <c r="J574" s="39" t="n">
        <v>42</v>
      </c>
      <c r="K574" s="41">
        <f>EDATE('はじめに'!$C$5,J574)</f>
        <v/>
      </c>
      <c r="L574" s="39" t="inlineStr">
        <is>
          <t>任意</t>
        </is>
      </c>
      <c r="M574" s="39" t="inlineStr">
        <is>
          <t>2人</t>
        </is>
      </c>
      <c r="N574" s="39" t="inlineStr">
        <is>
          <t>1時間</t>
        </is>
      </c>
      <c r="O574" s="24" t="inlineStr"/>
      <c r="P574" s="24" t="inlineStr"/>
      <c r="Q574" s="38" t="inlineStr">
        <is>
          <t>未着手</t>
        </is>
      </c>
      <c r="R574" s="28" t="inlineStr"/>
    </row>
    <row r="575" outlineLevel="1">
      <c r="A575" s="42" t="inlineStr">
        <is>
          <t>P12-08-03</t>
        </is>
      </c>
      <c r="B575" s="42" t="inlineStr">
        <is>
          <t>P12</t>
        </is>
      </c>
      <c r="C575" s="43" t="inlineStr">
        <is>
          <t>離乳食</t>
        </is>
      </c>
      <c r="D575" s="42" t="n">
        <v>3</v>
      </c>
      <c r="E575" s="44" t="inlineStr">
        <is>
          <t>常備する銘柄と、外出用の常温品を決める</t>
        </is>
      </c>
      <c r="F575" s="45" t="inlineStr">
        <is>
          <t>定番が決まっている</t>
        </is>
      </c>
      <c r="G575" s="45" t="inlineStr"/>
      <c r="H575" s="45" t="inlineStr"/>
      <c r="I575" s="45" t="inlineStr"/>
      <c r="J575" s="42" t="n">
        <v>43</v>
      </c>
      <c r="K575" s="46">
        <f>EDATE('はじめに'!$C$5,J575)</f>
        <v/>
      </c>
      <c r="L575" s="42" t="inlineStr">
        <is>
          <t>推奨</t>
        </is>
      </c>
      <c r="M575" s="42" t="inlineStr">
        <is>
          <t>2人</t>
        </is>
      </c>
      <c r="N575" s="42" t="inlineStr">
        <is>
          <t>30分</t>
        </is>
      </c>
      <c r="O575" s="45" t="inlineStr"/>
      <c r="P575" s="45" t="inlineStr"/>
      <c r="Q575" s="38" t="inlineStr">
        <is>
          <t>未着手</t>
        </is>
      </c>
      <c r="R575" s="28" t="inlineStr"/>
    </row>
    <row r="576">
      <c r="A576" s="33" t="inlineStr">
        <is>
          <t>P12-09</t>
        </is>
      </c>
      <c r="B576" s="33" t="inlineStr">
        <is>
          <t>P12</t>
        </is>
      </c>
      <c r="C576" s="34" t="inlineStr">
        <is>
          <t>離乳食</t>
        </is>
      </c>
      <c r="D576" s="33" t="n">
        <v>2</v>
      </c>
      <c r="E576" s="35" t="inlineStr">
        <is>
          <t>離乳食グッズを揃える</t>
        </is>
      </c>
      <c r="F576" s="36" t="inlineStr">
        <is>
          <t>食事の場所と道具が整っている</t>
        </is>
      </c>
      <c r="G576" s="36" t="inlineStr">
        <is>
          <t>何にお金をかけ、何を省くか</t>
        </is>
      </c>
      <c r="H576" s="36" t="inlineStr">
        <is>
          <t>ハイチェア：ストッケ トリップトラップ（長く使える・高い）／大和屋すくすく／カトージ／IKEAアンティロープ（安い）／Bumbo（床置き）　調理：ブラウン／クイジナート／BRUNOのブレンダー、リッチェルの冷凍小分けトレー　食器：EDISON／リッチェル／10mois</t>
        </is>
      </c>
      <c r="I576" s="36" t="inlineStr">
        <is>
          <t>すり鉢・裏ごし器・ブレンダーは初期の2ヶ月しか使わないので過剰投資しない。冷凍小分けトレーとシリコンビブは費用対効果が高い。ハイチェアは掃除のしやすさで選ぶ</t>
        </is>
      </c>
      <c r="J576" s="33" t="n">
        <v>42</v>
      </c>
      <c r="K576" s="37">
        <f>EDATE('はじめに'!$C$5,J576)</f>
        <v/>
      </c>
      <c r="L576" s="33" t="inlineStr">
        <is>
          <t>推奨</t>
        </is>
      </c>
      <c r="M576" s="33" t="inlineStr">
        <is>
          <t>2人</t>
        </is>
      </c>
      <c r="N576" s="33" t="inlineStr">
        <is>
          <t>1週間</t>
        </is>
      </c>
      <c r="O576" s="36" t="inlineStr">
        <is>
          <t>1〜6万円</t>
        </is>
      </c>
      <c r="P576" s="36" t="inlineStr"/>
      <c r="Q576" s="38" t="inlineStr">
        <is>
          <t>未着手</t>
        </is>
      </c>
      <c r="R576" s="28" t="inlineStr"/>
    </row>
    <row r="577" outlineLevel="1">
      <c r="A577" s="42" t="inlineStr">
        <is>
          <t>P12-09-01</t>
        </is>
      </c>
      <c r="B577" s="42" t="inlineStr">
        <is>
          <t>P12</t>
        </is>
      </c>
      <c r="C577" s="43" t="inlineStr">
        <is>
          <t>離乳食</t>
        </is>
      </c>
      <c r="D577" s="42" t="n">
        <v>3</v>
      </c>
      <c r="E577" s="44" t="inlineStr">
        <is>
          <t>ハイチェアを決めて設置する（掃除のしやすさ・テーブルの高さ）</t>
        </is>
      </c>
      <c r="F577" s="45" t="inlineStr">
        <is>
          <t>設置済み</t>
        </is>
      </c>
      <c r="G577" s="45" t="inlineStr"/>
      <c r="H577" s="45" t="inlineStr"/>
      <c r="I577" s="45" t="inlineStr"/>
      <c r="J577" s="42" t="n">
        <v>42</v>
      </c>
      <c r="K577" s="46">
        <f>EDATE('はじめに'!$C$5,J577)</f>
        <v/>
      </c>
      <c r="L577" s="42" t="inlineStr">
        <is>
          <t>推奨</t>
        </is>
      </c>
      <c r="M577" s="42" t="inlineStr">
        <is>
          <t>2人</t>
        </is>
      </c>
      <c r="N577" s="42" t="inlineStr">
        <is>
          <t>2時間</t>
        </is>
      </c>
      <c r="O577" s="45" t="inlineStr"/>
      <c r="P577" s="45" t="inlineStr"/>
      <c r="Q577" s="38" t="inlineStr">
        <is>
          <t>未着手</t>
        </is>
      </c>
      <c r="R577" s="28" t="inlineStr"/>
    </row>
    <row r="578" outlineLevel="1">
      <c r="A578" s="39" t="inlineStr">
        <is>
          <t>P12-09-02</t>
        </is>
      </c>
      <c r="B578" s="39" t="inlineStr">
        <is>
          <t>P12</t>
        </is>
      </c>
      <c r="C578" s="22" t="inlineStr">
        <is>
          <t>離乳食</t>
        </is>
      </c>
      <c r="D578" s="39" t="n">
        <v>3</v>
      </c>
      <c r="E578" s="40" t="inlineStr">
        <is>
          <t>冷凍小分けトレー・食器・シリコンビブを買う</t>
        </is>
      </c>
      <c r="F578" s="24" t="inlineStr">
        <is>
          <t>揃っている</t>
        </is>
      </c>
      <c r="G578" s="24" t="inlineStr"/>
      <c r="H578" s="24" t="inlineStr"/>
      <c r="I578" s="24" t="inlineStr"/>
      <c r="J578" s="39" t="n">
        <v>42</v>
      </c>
      <c r="K578" s="41">
        <f>EDATE('はじめに'!$C$5,J578)</f>
        <v/>
      </c>
      <c r="L578" s="39" t="inlineStr">
        <is>
          <t>推奨</t>
        </is>
      </c>
      <c r="M578" s="39" t="inlineStr">
        <is>
          <t>2人</t>
        </is>
      </c>
      <c r="N578" s="39" t="inlineStr">
        <is>
          <t>1時間</t>
        </is>
      </c>
      <c r="O578" s="24" t="inlineStr"/>
      <c r="P578" s="24" t="inlineStr"/>
      <c r="Q578" s="38" t="inlineStr">
        <is>
          <t>未着手</t>
        </is>
      </c>
      <c r="R578" s="28" t="inlineStr"/>
    </row>
    <row r="579" outlineLevel="1">
      <c r="A579" s="42" t="inlineStr">
        <is>
          <t>P12-09-03</t>
        </is>
      </c>
      <c r="B579" s="42" t="inlineStr">
        <is>
          <t>P12</t>
        </is>
      </c>
      <c r="C579" s="43" t="inlineStr">
        <is>
          <t>離乳食</t>
        </is>
      </c>
      <c r="D579" s="42" t="n">
        <v>3</v>
      </c>
      <c r="E579" s="44" t="inlineStr">
        <is>
          <t>床の防御（レジャーシート・マット）を用意する</t>
        </is>
      </c>
      <c r="F579" s="45" t="inlineStr">
        <is>
          <t>汚れ対策ができている</t>
        </is>
      </c>
      <c r="G579" s="45" t="inlineStr"/>
      <c r="H579" s="45" t="inlineStr"/>
      <c r="I579" s="45" t="inlineStr"/>
      <c r="J579" s="42" t="n">
        <v>42</v>
      </c>
      <c r="K579" s="46">
        <f>EDATE('はじめに'!$C$5,J579)</f>
        <v/>
      </c>
      <c r="L579" s="42" t="inlineStr">
        <is>
          <t>任意</t>
        </is>
      </c>
      <c r="M579" s="42" t="inlineStr">
        <is>
          <t>2人</t>
        </is>
      </c>
      <c r="N579" s="42" t="inlineStr">
        <is>
          <t>30分</t>
        </is>
      </c>
      <c r="O579" s="45" t="inlineStr"/>
      <c r="P579" s="45" t="inlineStr"/>
      <c r="Q579" s="38" t="inlineStr">
        <is>
          <t>未着手</t>
        </is>
      </c>
      <c r="R579" s="28" t="inlineStr"/>
    </row>
    <row r="580">
      <c r="A580" s="33" t="inlineStr">
        <is>
          <t>P12-10</t>
        </is>
      </c>
      <c r="B580" s="33" t="inlineStr">
        <is>
          <t>P12</t>
        </is>
      </c>
      <c r="C580" s="34" t="inlineStr">
        <is>
          <t>離乳食</t>
        </is>
      </c>
      <c r="D580" s="33" t="n">
        <v>2</v>
      </c>
      <c r="E580" s="35" t="inlineStr">
        <is>
          <t>離乳食を開始する（5〜6ヶ月、ゴックン期）</t>
        </is>
      </c>
      <c r="F580" s="36" t="inlineStr">
        <is>
          <t>1日1回の離乳食が定着している</t>
        </is>
      </c>
      <c r="G580" s="36" t="inlineStr">
        <is>
          <t>いつ始めるか、どう進めるか</t>
        </is>
      </c>
      <c r="H580" s="36" t="inlineStr">
        <is>
          <t>10倍がゆ小さじ1 → 野菜（にんじん・かぼちゃ・ほうれん草）→ 豆腐・白身魚 → 固ゆで卵黄</t>
        </is>
      </c>
      <c r="I580" s="36" t="inlineStr">
        <is>
          <t>1日1回、午前中（何かあれば病院に行ける時間）。新食材は1日1種類・小さじ1から。開始のサインは首すわり・よだれ・大人の食事に興味を示す</t>
        </is>
      </c>
      <c r="J580" s="33" t="n">
        <v>42</v>
      </c>
      <c r="K580" s="37">
        <f>EDATE('はじめに'!$C$5,J580)</f>
        <v/>
      </c>
      <c r="L580" s="33" t="inlineStr">
        <is>
          <t>推奨</t>
        </is>
      </c>
      <c r="M580" s="33" t="inlineStr">
        <is>
          <t>2人</t>
        </is>
      </c>
      <c r="N580" s="33" t="inlineStr">
        <is>
          <t>1ヶ月</t>
        </is>
      </c>
      <c r="O580" s="36" t="inlineStr"/>
      <c r="P580" s="36" t="inlineStr">
        <is>
          <t>離乳食グッズの用意</t>
        </is>
      </c>
      <c r="Q580" s="38" t="inlineStr">
        <is>
          <t>未着手</t>
        </is>
      </c>
      <c r="R580" s="28" t="inlineStr"/>
    </row>
    <row r="581" outlineLevel="1">
      <c r="A581" s="42" t="inlineStr">
        <is>
          <t>P12-10-01</t>
        </is>
      </c>
      <c r="B581" s="42" t="inlineStr">
        <is>
          <t>P12</t>
        </is>
      </c>
      <c r="C581" s="43" t="inlineStr">
        <is>
          <t>離乳食</t>
        </is>
      </c>
      <c r="D581" s="42" t="n">
        <v>3</v>
      </c>
      <c r="E581" s="44" t="inlineStr">
        <is>
          <t>開始のサイン（首すわり・支えで座れる・食べ物に興味）を確認する</t>
        </is>
      </c>
      <c r="F581" s="45" t="inlineStr">
        <is>
          <t>始めてよい状態</t>
        </is>
      </c>
      <c r="G581" s="45" t="inlineStr"/>
      <c r="H581" s="45" t="inlineStr"/>
      <c r="I581" s="45" t="inlineStr"/>
      <c r="J581" s="42" t="n">
        <v>42</v>
      </c>
      <c r="K581" s="46">
        <f>EDATE('はじめに'!$C$5,J581)</f>
        <v/>
      </c>
      <c r="L581" s="42" t="inlineStr">
        <is>
          <t>推奨</t>
        </is>
      </c>
      <c r="M581" s="42" t="inlineStr">
        <is>
          <t>2人</t>
        </is>
      </c>
      <c r="N581" s="42" t="inlineStr">
        <is>
          <t>-</t>
        </is>
      </c>
      <c r="O581" s="45" t="inlineStr"/>
      <c r="P581" s="45" t="inlineStr"/>
      <c r="Q581" s="38" t="inlineStr">
        <is>
          <t>未着手</t>
        </is>
      </c>
      <c r="R581" s="28" t="inlineStr"/>
    </row>
    <row r="582" outlineLevel="1">
      <c r="A582" s="39" t="inlineStr">
        <is>
          <t>P12-10-02</t>
        </is>
      </c>
      <c r="B582" s="39" t="inlineStr">
        <is>
          <t>P12</t>
        </is>
      </c>
      <c r="C582" s="22" t="inlineStr">
        <is>
          <t>離乳食</t>
        </is>
      </c>
      <c r="D582" s="39" t="n">
        <v>3</v>
      </c>
      <c r="E582" s="40" t="inlineStr">
        <is>
          <t>10倍がゆ小さじ1から始める</t>
        </is>
      </c>
      <c r="F582" s="24" t="inlineStr">
        <is>
          <t>食べ始めている</t>
        </is>
      </c>
      <c r="G582" s="24" t="inlineStr"/>
      <c r="H582" s="24" t="inlineStr"/>
      <c r="I582" s="24" t="inlineStr"/>
      <c r="J582" s="39" t="n">
        <v>42</v>
      </c>
      <c r="K582" s="41">
        <f>EDATE('はじめに'!$C$5,J582)</f>
        <v/>
      </c>
      <c r="L582" s="39" t="inlineStr">
        <is>
          <t>推奨</t>
        </is>
      </c>
      <c r="M582" s="39" t="inlineStr">
        <is>
          <t>2人</t>
        </is>
      </c>
      <c r="N582" s="39" t="inlineStr">
        <is>
          <t>-</t>
        </is>
      </c>
      <c r="O582" s="24" t="inlineStr"/>
      <c r="P582" s="24" t="inlineStr"/>
      <c r="Q582" s="38" t="inlineStr">
        <is>
          <t>未着手</t>
        </is>
      </c>
      <c r="R582" s="28" t="inlineStr"/>
    </row>
    <row r="583" outlineLevel="1">
      <c r="A583" s="42" t="inlineStr">
        <is>
          <t>P12-10-03</t>
        </is>
      </c>
      <c r="B583" s="42" t="inlineStr">
        <is>
          <t>P12</t>
        </is>
      </c>
      <c r="C583" s="43" t="inlineStr">
        <is>
          <t>離乳食</t>
        </is>
      </c>
      <c r="D583" s="42" t="n">
        <v>3</v>
      </c>
      <c r="E583" s="44" t="inlineStr">
        <is>
          <t>野菜を1種類ずつ増やす</t>
        </is>
      </c>
      <c r="F583" s="45" t="inlineStr">
        <is>
          <t>食べられる野菜が増えている</t>
        </is>
      </c>
      <c r="G583" s="45" t="inlineStr"/>
      <c r="H583" s="45" t="inlineStr"/>
      <c r="I583" s="45" t="inlineStr"/>
      <c r="J583" s="42" t="n">
        <v>42</v>
      </c>
      <c r="K583" s="46">
        <f>EDATE('はじめに'!$C$5,J583)</f>
        <v/>
      </c>
      <c r="L583" s="42" t="inlineStr">
        <is>
          <t>推奨</t>
        </is>
      </c>
      <c r="M583" s="42" t="inlineStr">
        <is>
          <t>2人</t>
        </is>
      </c>
      <c r="N583" s="42" t="inlineStr">
        <is>
          <t>継続</t>
        </is>
      </c>
      <c r="O583" s="45" t="inlineStr"/>
      <c r="P583" s="45" t="inlineStr"/>
      <c r="Q583" s="38" t="inlineStr">
        <is>
          <t>未着手</t>
        </is>
      </c>
      <c r="R583" s="28" t="inlineStr"/>
    </row>
    <row r="584" outlineLevel="1">
      <c r="A584" s="39" t="inlineStr">
        <is>
          <t>P12-10-04</t>
        </is>
      </c>
      <c r="B584" s="39" t="inlineStr">
        <is>
          <t>P12</t>
        </is>
      </c>
      <c r="C584" s="22" t="inlineStr">
        <is>
          <t>離乳食</t>
        </is>
      </c>
      <c r="D584" s="39" t="n">
        <v>3</v>
      </c>
      <c r="E584" s="40" t="inlineStr">
        <is>
          <t>冷凍ストックの運用を始める（まとめ調理→小分け冷凍→1週間で使い切る）</t>
        </is>
      </c>
      <c r="F584" s="24" t="inlineStr">
        <is>
          <t>回っている</t>
        </is>
      </c>
      <c r="G584" s="24" t="inlineStr"/>
      <c r="H584" s="24" t="inlineStr"/>
      <c r="I584" s="24" t="inlineStr"/>
      <c r="J584" s="39" t="n">
        <v>42</v>
      </c>
      <c r="K584" s="41">
        <f>EDATE('はじめに'!$C$5,J584)</f>
        <v/>
      </c>
      <c r="L584" s="39" t="inlineStr">
        <is>
          <t>推奨</t>
        </is>
      </c>
      <c r="M584" s="39" t="inlineStr">
        <is>
          <t>2人</t>
        </is>
      </c>
      <c r="N584" s="39" t="inlineStr">
        <is>
          <t>継続</t>
        </is>
      </c>
      <c r="O584" s="24" t="inlineStr"/>
      <c r="P584" s="24" t="inlineStr"/>
      <c r="Q584" s="38" t="inlineStr">
        <is>
          <t>未着手</t>
        </is>
      </c>
      <c r="R584" s="28" t="inlineStr"/>
    </row>
    <row r="585">
      <c r="A585" s="33" t="inlineStr">
        <is>
          <t>P12-11</t>
        </is>
      </c>
      <c r="B585" s="33" t="inlineStr">
        <is>
          <t>P12</t>
        </is>
      </c>
      <c r="C585" s="34" t="inlineStr">
        <is>
          <t>離乳食</t>
        </is>
      </c>
      <c r="D585" s="33" t="n">
        <v>2</v>
      </c>
      <c r="E585" s="35" t="inlineStr">
        <is>
          <t>アレルギー確認のルールと発症時の対応を共有する</t>
        </is>
      </c>
      <c r="F585" s="36" t="inlineStr">
        <is>
          <t>2人が同じルールで動ける</t>
        </is>
      </c>
      <c r="G585" s="36" t="inlineStr">
        <is>
          <t>卵をいつ始めるか、症状が出たらどうするか</t>
        </is>
      </c>
      <c r="H585" s="36" t="inlineStr">
        <is>
          <t>固ゆで卵黄を耳かき1杯から（生後5〜6ヶ月）</t>
        </is>
      </c>
      <c r="I585" s="36" t="inlineStr">
        <is>
          <t>遅らせるほうがアレルギーのリスクは上がる。新食材は1日1種類・少量・午前中。発疹・嘔吐・呼吸苦が出たらかかりつけ or 救急。1歳未満のはちみつは禁止</t>
        </is>
      </c>
      <c r="J585" s="33" t="n">
        <v>42</v>
      </c>
      <c r="K585" s="37">
        <f>EDATE('はじめに'!$C$5,J585)</f>
        <v/>
      </c>
      <c r="L585" s="33" t="inlineStr">
        <is>
          <t>推奨</t>
        </is>
      </c>
      <c r="M585" s="33" t="inlineStr">
        <is>
          <t>2人</t>
        </is>
      </c>
      <c r="N585" s="33" t="inlineStr">
        <is>
          <t>1時間</t>
        </is>
      </c>
      <c r="O585" s="36" t="inlineStr"/>
      <c r="P585" s="36" t="inlineStr">
        <is>
          <t>離乳食の開始</t>
        </is>
      </c>
      <c r="Q585" s="38" t="inlineStr">
        <is>
          <t>未着手</t>
        </is>
      </c>
      <c r="R585" s="28" t="inlineStr"/>
    </row>
    <row r="586" outlineLevel="1">
      <c r="A586" s="39" t="inlineStr">
        <is>
          <t>P12-11-01</t>
        </is>
      </c>
      <c r="B586" s="39" t="inlineStr">
        <is>
          <t>P12</t>
        </is>
      </c>
      <c r="C586" s="22" t="inlineStr">
        <is>
          <t>離乳食</t>
        </is>
      </c>
      <c r="D586" s="39" t="n">
        <v>3</v>
      </c>
      <c r="E586" s="40" t="inlineStr">
        <is>
          <t>新食材の記録表を作る（日付・食材・量・反応）</t>
        </is>
      </c>
      <c r="F586" s="24" t="inlineStr">
        <is>
          <t>記録できている</t>
        </is>
      </c>
      <c r="G586" s="24" t="inlineStr"/>
      <c r="H586" s="24" t="inlineStr"/>
      <c r="I586" s="24" t="inlineStr"/>
      <c r="J586" s="39" t="n">
        <v>42</v>
      </c>
      <c r="K586" s="41">
        <f>EDATE('はじめに'!$C$5,J586)</f>
        <v/>
      </c>
      <c r="L586" s="39" t="inlineStr">
        <is>
          <t>推奨</t>
        </is>
      </c>
      <c r="M586" s="39" t="inlineStr">
        <is>
          <t>2人</t>
        </is>
      </c>
      <c r="N586" s="39" t="inlineStr">
        <is>
          <t>30分</t>
        </is>
      </c>
      <c r="O586" s="24" t="inlineStr"/>
      <c r="P586" s="24" t="inlineStr"/>
      <c r="Q586" s="38" t="inlineStr">
        <is>
          <t>未着手</t>
        </is>
      </c>
      <c r="R586" s="28" t="inlineStr"/>
    </row>
    <row r="587" outlineLevel="1">
      <c r="A587" s="42" t="inlineStr">
        <is>
          <t>P12-11-02</t>
        </is>
      </c>
      <c r="B587" s="42" t="inlineStr">
        <is>
          <t>P12</t>
        </is>
      </c>
      <c r="C587" s="43" t="inlineStr">
        <is>
          <t>離乳食</t>
        </is>
      </c>
      <c r="D587" s="42" t="n">
        <v>3</v>
      </c>
      <c r="E587" s="44" t="inlineStr">
        <is>
          <t>卵黄を耳かき1杯から始める</t>
        </is>
      </c>
      <c r="F587" s="45" t="inlineStr">
        <is>
          <t>開始できている</t>
        </is>
      </c>
      <c r="G587" s="45" t="inlineStr"/>
      <c r="H587" s="45" t="inlineStr"/>
      <c r="I587" s="45" t="inlineStr"/>
      <c r="J587" s="42" t="n">
        <v>43</v>
      </c>
      <c r="K587" s="46">
        <f>EDATE('はじめに'!$C$5,J587)</f>
        <v/>
      </c>
      <c r="L587" s="42" t="inlineStr">
        <is>
          <t>推奨</t>
        </is>
      </c>
      <c r="M587" s="42" t="inlineStr">
        <is>
          <t>2人</t>
        </is>
      </c>
      <c r="N587" s="42" t="inlineStr">
        <is>
          <t>-</t>
        </is>
      </c>
      <c r="O587" s="45" t="inlineStr"/>
      <c r="P587" s="45" t="inlineStr"/>
      <c r="Q587" s="38" t="inlineStr">
        <is>
          <t>未着手</t>
        </is>
      </c>
      <c r="R587" s="28" t="inlineStr"/>
    </row>
    <row r="588" outlineLevel="1">
      <c r="A588" s="39" t="inlineStr">
        <is>
          <t>P12-11-03</t>
        </is>
      </c>
      <c r="B588" s="39" t="inlineStr">
        <is>
          <t>P12</t>
        </is>
      </c>
      <c r="C588" s="22" t="inlineStr">
        <is>
          <t>離乳食</t>
        </is>
      </c>
      <c r="D588" s="39" t="n">
        <v>3</v>
      </c>
      <c r="E588" s="40" t="inlineStr">
        <is>
          <t>症状が出たときの受診先と連絡手段を確認する</t>
        </is>
      </c>
      <c r="F588" s="24" t="inlineStr">
        <is>
          <t>2人が言える</t>
        </is>
      </c>
      <c r="G588" s="24" t="inlineStr"/>
      <c r="H588" s="24" t="inlineStr"/>
      <c r="I588" s="24" t="inlineStr"/>
      <c r="J588" s="39" t="n">
        <v>42</v>
      </c>
      <c r="K588" s="41">
        <f>EDATE('はじめに'!$C$5,J588)</f>
        <v/>
      </c>
      <c r="L588" s="39" t="inlineStr">
        <is>
          <t>推奨</t>
        </is>
      </c>
      <c r="M588" s="39" t="inlineStr">
        <is>
          <t>2人</t>
        </is>
      </c>
      <c r="N588" s="39" t="inlineStr">
        <is>
          <t>15分</t>
        </is>
      </c>
      <c r="O588" s="24" t="inlineStr"/>
      <c r="P588" s="24" t="inlineStr"/>
      <c r="Q588" s="38" t="inlineStr">
        <is>
          <t>未着手</t>
        </is>
      </c>
      <c r="R588" s="28" t="inlineStr"/>
    </row>
    <row r="589">
      <c r="A589" s="33" t="inlineStr">
        <is>
          <t>P12-12</t>
        </is>
      </c>
      <c r="B589" s="33" t="inlineStr">
        <is>
          <t>P12</t>
        </is>
      </c>
      <c r="C589" s="34" t="inlineStr">
        <is>
          <t>記録</t>
        </is>
      </c>
      <c r="D589" s="33" t="n">
        <v>2</v>
      </c>
      <c r="E589" s="35" t="inlineStr">
        <is>
          <t>行事と記録</t>
        </is>
      </c>
      <c r="F589" s="36" t="inlineStr">
        <is>
          <t>お食い初めと写真が残っている</t>
        </is>
      </c>
      <c r="G589" s="36" t="inlineStr"/>
      <c r="H589" s="36" t="inlineStr"/>
      <c r="I589" s="36" t="inlineStr"/>
      <c r="J589" s="33" t="n">
        <v>41</v>
      </c>
      <c r="K589" s="37">
        <f>EDATE('はじめに'!$C$5,J589)</f>
        <v/>
      </c>
      <c r="L589" s="33" t="inlineStr">
        <is>
          <t>任意</t>
        </is>
      </c>
      <c r="M589" s="33" t="inlineStr">
        <is>
          <t>2人</t>
        </is>
      </c>
      <c r="N589" s="33" t="inlineStr">
        <is>
          <t>継続</t>
        </is>
      </c>
      <c r="O589" s="36" t="inlineStr"/>
      <c r="P589" s="36" t="inlineStr"/>
      <c r="Q589" s="38" t="inlineStr">
        <is>
          <t>未着手</t>
        </is>
      </c>
      <c r="R589" s="28" t="inlineStr"/>
    </row>
    <row r="590" outlineLevel="1">
      <c r="A590" s="39" t="inlineStr">
        <is>
          <t>P12-12-01</t>
        </is>
      </c>
      <c r="B590" s="39" t="inlineStr">
        <is>
          <t>P12</t>
        </is>
      </c>
      <c r="C590" s="22" t="inlineStr">
        <is>
          <t>記録</t>
        </is>
      </c>
      <c r="D590" s="39" t="n">
        <v>3</v>
      </c>
      <c r="E590" s="40" t="inlineStr">
        <is>
          <t>お食い初め（生後100日前後）</t>
        </is>
      </c>
      <c r="F590" s="24" t="inlineStr">
        <is>
          <t>実施済み</t>
        </is>
      </c>
      <c r="G590" s="24" t="inlineStr"/>
      <c r="H590" s="24" t="inlineStr"/>
      <c r="I590" s="24" t="inlineStr"/>
      <c r="J590" s="39" t="n">
        <v>41</v>
      </c>
      <c r="K590" s="41">
        <f>EDATE('はじめに'!$C$5,J590)</f>
        <v/>
      </c>
      <c r="L590" s="39" t="inlineStr">
        <is>
          <t>任意</t>
        </is>
      </c>
      <c r="M590" s="39" t="inlineStr">
        <is>
          <t>2人</t>
        </is>
      </c>
      <c r="N590" s="39" t="inlineStr">
        <is>
          <t>半日</t>
        </is>
      </c>
      <c r="O590" s="24" t="inlineStr">
        <is>
          <t>1〜5万円</t>
        </is>
      </c>
      <c r="P590" s="24" t="inlineStr"/>
      <c r="Q590" s="38" t="inlineStr">
        <is>
          <t>未着手</t>
        </is>
      </c>
      <c r="R590" s="28" t="inlineStr"/>
    </row>
    <row r="591" outlineLevel="1">
      <c r="A591" s="42" t="inlineStr">
        <is>
          <t>P12-12-02</t>
        </is>
      </c>
      <c r="B591" s="42" t="inlineStr">
        <is>
          <t>P12</t>
        </is>
      </c>
      <c r="C591" s="43" t="inlineStr">
        <is>
          <t>記録</t>
        </is>
      </c>
      <c r="D591" s="42" t="n">
        <v>3</v>
      </c>
      <c r="E591" s="44" t="inlineStr">
        <is>
          <t>月齢フォトを撮る</t>
        </is>
      </c>
      <c r="F591" s="45" t="inlineStr">
        <is>
          <t>毎月残っている</t>
        </is>
      </c>
      <c r="G591" s="45" t="inlineStr"/>
      <c r="H591" s="45" t="inlineStr"/>
      <c r="I591" s="45" t="inlineStr"/>
      <c r="J591" s="42" t="n">
        <v>40</v>
      </c>
      <c r="K591" s="46">
        <f>EDATE('はじめに'!$C$5,J591)</f>
        <v/>
      </c>
      <c r="L591" s="42" t="inlineStr">
        <is>
          <t>任意</t>
        </is>
      </c>
      <c r="M591" s="42" t="inlineStr">
        <is>
          <t>2人</t>
        </is>
      </c>
      <c r="N591" s="42" t="inlineStr">
        <is>
          <t>継続</t>
        </is>
      </c>
      <c r="O591" s="45" t="inlineStr"/>
      <c r="P591" s="45" t="inlineStr"/>
      <c r="Q591" s="38" t="inlineStr">
        <is>
          <t>未着手</t>
        </is>
      </c>
      <c r="R591" s="28" t="inlineStr"/>
    </row>
    <row r="592" outlineLevel="1">
      <c r="A592" s="39" t="inlineStr">
        <is>
          <t>P12-12-03</t>
        </is>
      </c>
      <c r="B592" s="39" t="inlineStr">
        <is>
          <t>P12</t>
        </is>
      </c>
      <c r="C592" s="22" t="inlineStr">
        <is>
          <t>記録</t>
        </is>
      </c>
      <c r="D592" s="39" t="n">
        <v>3</v>
      </c>
      <c r="E592" s="40" t="inlineStr">
        <is>
          <t>写真のバックアップを二重化する</t>
        </is>
      </c>
      <c r="F592" s="24" t="inlineStr">
        <is>
          <t>クラウド＋ローカルに保存されている</t>
        </is>
      </c>
      <c r="G592" s="24" t="inlineStr"/>
      <c r="H592" s="24" t="inlineStr"/>
      <c r="I592" s="24" t="inlineStr"/>
      <c r="J592" s="39" t="n">
        <v>42</v>
      </c>
      <c r="K592" s="41">
        <f>EDATE('はじめに'!$C$5,J592)</f>
        <v/>
      </c>
      <c r="L592" s="39" t="inlineStr">
        <is>
          <t>推奨</t>
        </is>
      </c>
      <c r="M592" s="39" t="inlineStr">
        <is>
          <t>どちらか</t>
        </is>
      </c>
      <c r="N592" s="39" t="inlineStr">
        <is>
          <t>1時間</t>
        </is>
      </c>
      <c r="O592" s="24" t="inlineStr"/>
      <c r="P592" s="24" t="inlineStr"/>
      <c r="Q592" s="38" t="inlineStr">
        <is>
          <t>未着手</t>
        </is>
      </c>
      <c r="R592" s="28" t="inlineStr"/>
    </row>
    <row r="593">
      <c r="A593" s="33" t="inlineStr">
        <is>
          <t>P12-13</t>
        </is>
      </c>
      <c r="B593" s="33" t="inlineStr">
        <is>
          <t>P12</t>
        </is>
      </c>
      <c r="C593" s="34" t="inlineStr">
        <is>
          <t>仕事</t>
        </is>
      </c>
      <c r="D593" s="33" t="n">
        <v>2</v>
      </c>
      <c r="E593" s="35" t="inlineStr">
        <is>
          <t>復職の時期を職場とすり合わせる</t>
        </is>
      </c>
      <c r="F593" s="36" t="inlineStr">
        <is>
          <t>復職予定月が決まっている</t>
        </is>
      </c>
      <c r="G593" s="36" t="inlineStr">
        <is>
          <t>いつ戻るか、時短にするか</t>
        </is>
      </c>
      <c r="H593" s="36" t="inlineStr">
        <is>
          <t>4月復職（保育園に合わせる）／年度途中／延長</t>
        </is>
      </c>
      <c r="I593" s="36" t="inlineStr">
        <is>
          <t>保育園の申込月から逆算する。慣らし保育に2週間〜1ヶ月かかるので、復職日はその後に設定する</t>
        </is>
      </c>
      <c r="J593" s="33" t="n">
        <v>42</v>
      </c>
      <c r="K593" s="37">
        <f>EDATE('はじめに'!$C$5,J593)</f>
        <v/>
      </c>
      <c r="L593" s="33" t="inlineStr">
        <is>
          <t>推奨</t>
        </is>
      </c>
      <c r="M593" s="33" t="inlineStr">
        <is>
          <t>妊娠する側</t>
        </is>
      </c>
      <c r="N593" s="33" t="inlineStr">
        <is>
          <t>2週間</t>
        </is>
      </c>
      <c r="O593" s="36" t="inlineStr"/>
      <c r="P593" s="36" t="inlineStr">
        <is>
          <t>保育園の見学</t>
        </is>
      </c>
      <c r="Q593" s="38" t="inlineStr">
        <is>
          <t>未着手</t>
        </is>
      </c>
      <c r="R593" s="28" t="inlineStr"/>
    </row>
    <row r="594">
      <c r="A594" s="33" t="inlineStr">
        <is>
          <t>P13-01</t>
        </is>
      </c>
      <c r="B594" s="33" t="inlineStr">
        <is>
          <t>P13</t>
        </is>
      </c>
      <c r="C594" s="34" t="inlineStr">
        <is>
          <t>保活</t>
        </is>
      </c>
      <c r="D594" s="33" t="n">
        <v>2</v>
      </c>
      <c r="E594" s="35" t="inlineStr">
        <is>
          <t>保育園の申込書類を揃える</t>
        </is>
      </c>
      <c r="F594" s="36" t="inlineStr">
        <is>
          <t>全書類が揃い、記入も終わっている</t>
        </is>
      </c>
      <c r="G594" s="36" t="inlineStr">
        <is>
          <t>いつ誰に何を依頼するか</t>
        </is>
      </c>
      <c r="H594" s="36" t="inlineStr"/>
      <c r="I594" s="36" t="inlineStr">
        <is>
          <t>就労証明書は会社発行に2〜4週間かかる。夫婦両方必要。10月申込なら9月上旬に依頼する</t>
        </is>
      </c>
      <c r="J594" s="33" t="n">
        <v>43</v>
      </c>
      <c r="K594" s="37">
        <f>EDATE('はじめに'!$C$5,J594)</f>
        <v/>
      </c>
      <c r="L594" s="33" t="inlineStr">
        <is>
          <t>推奨</t>
        </is>
      </c>
      <c r="M594" s="33" t="inlineStr">
        <is>
          <t>2人</t>
        </is>
      </c>
      <c r="N594" s="33" t="inlineStr">
        <is>
          <t>1ヶ月</t>
        </is>
      </c>
      <c r="O594" s="36" t="inlineStr"/>
      <c r="P594" s="36" t="inlineStr">
        <is>
          <t>保育園の見学</t>
        </is>
      </c>
      <c r="Q594" s="38" t="inlineStr">
        <is>
          <t>未着手</t>
        </is>
      </c>
      <c r="R594" s="28" t="inlineStr"/>
    </row>
    <row r="595" outlineLevel="1">
      <c r="A595" s="42" t="inlineStr">
        <is>
          <t>P13-01-01</t>
        </is>
      </c>
      <c r="B595" s="42" t="inlineStr">
        <is>
          <t>P13</t>
        </is>
      </c>
      <c r="C595" s="43" t="inlineStr">
        <is>
          <t>保活</t>
        </is>
      </c>
      <c r="D595" s="42" t="n">
        <v>3</v>
      </c>
      <c r="E595" s="44" t="inlineStr">
        <is>
          <t>自治体の入園案内の最新版を入手し、締切と提出方法を確認する</t>
        </is>
      </c>
      <c r="F595" s="45" t="inlineStr">
        <is>
          <t>締切が分かっている</t>
        </is>
      </c>
      <c r="G595" s="45" t="inlineStr"/>
      <c r="H595" s="45" t="inlineStr"/>
      <c r="I595" s="45" t="inlineStr"/>
      <c r="J595" s="42" t="n">
        <v>43</v>
      </c>
      <c r="K595" s="46">
        <f>EDATE('はじめに'!$C$5,J595)</f>
        <v/>
      </c>
      <c r="L595" s="42" t="inlineStr">
        <is>
          <t>推奨</t>
        </is>
      </c>
      <c r="M595" s="42" t="inlineStr">
        <is>
          <t>2人</t>
        </is>
      </c>
      <c r="N595" s="42" t="inlineStr">
        <is>
          <t>1時間</t>
        </is>
      </c>
      <c r="O595" s="45" t="inlineStr"/>
      <c r="P595" s="45" t="inlineStr"/>
      <c r="Q595" s="38" t="inlineStr">
        <is>
          <t>未着手</t>
        </is>
      </c>
      <c r="R595" s="28" t="inlineStr"/>
    </row>
    <row r="596" outlineLevel="1">
      <c r="A596" s="39" t="inlineStr">
        <is>
          <t>P13-01-02</t>
        </is>
      </c>
      <c r="B596" s="39" t="inlineStr">
        <is>
          <t>P13</t>
        </is>
      </c>
      <c r="C596" s="22" t="inlineStr">
        <is>
          <t>保活</t>
        </is>
      </c>
      <c r="D596" s="39" t="n">
        <v>3</v>
      </c>
      <c r="E596" s="40" t="inlineStr">
        <is>
          <t>各自が自分の会社に就労証明書を依頼する（自治体指定様式）</t>
        </is>
      </c>
      <c r="F596" s="24" t="inlineStr">
        <is>
          <t>2人分が手元にある</t>
        </is>
      </c>
      <c r="G596" s="24" t="inlineStr"/>
      <c r="H596" s="24" t="inlineStr"/>
      <c r="I596" s="24" t="inlineStr"/>
      <c r="J596" s="39" t="n">
        <v>43</v>
      </c>
      <c r="K596" s="41">
        <f>EDATE('はじめに'!$C$5,J596)</f>
        <v/>
      </c>
      <c r="L596" s="39" t="inlineStr">
        <is>
          <t>推奨</t>
        </is>
      </c>
      <c r="M596" s="39" t="inlineStr">
        <is>
          <t>2人</t>
        </is>
      </c>
      <c r="N596" s="39" t="inlineStr">
        <is>
          <t>2〜4週間</t>
        </is>
      </c>
      <c r="O596" s="24" t="inlineStr"/>
      <c r="P596" s="24" t="inlineStr"/>
      <c r="Q596" s="38" t="inlineStr">
        <is>
          <t>未着手</t>
        </is>
      </c>
      <c r="R596" s="28" t="inlineStr"/>
    </row>
    <row r="597" outlineLevel="1">
      <c r="A597" s="42" t="inlineStr">
        <is>
          <t>P13-01-03</t>
        </is>
      </c>
      <c r="B597" s="42" t="inlineStr">
        <is>
          <t>P13</t>
        </is>
      </c>
      <c r="C597" s="43" t="inlineStr">
        <is>
          <t>保活</t>
        </is>
      </c>
      <c r="D597" s="42" t="n">
        <v>3</v>
      </c>
      <c r="E597" s="44" t="inlineStr">
        <is>
          <t>加点になる項目（認可外在園・兄弟・ひとり親等）を確認して証明書類を集める</t>
        </is>
      </c>
      <c r="F597" s="45" t="inlineStr">
        <is>
          <t>加点書類が揃っている</t>
        </is>
      </c>
      <c r="G597" s="45" t="inlineStr"/>
      <c r="H597" s="45" t="inlineStr"/>
      <c r="I597" s="45" t="inlineStr"/>
      <c r="J597" s="42" t="n">
        <v>43</v>
      </c>
      <c r="K597" s="46">
        <f>EDATE('はじめに'!$C$5,J597)</f>
        <v/>
      </c>
      <c r="L597" s="42" t="inlineStr">
        <is>
          <t>推奨</t>
        </is>
      </c>
      <c r="M597" s="42" t="inlineStr">
        <is>
          <t>2人</t>
        </is>
      </c>
      <c r="N597" s="42" t="inlineStr">
        <is>
          <t>2時間</t>
        </is>
      </c>
      <c r="O597" s="45" t="inlineStr"/>
      <c r="P597" s="45" t="inlineStr"/>
      <c r="Q597" s="38" t="inlineStr">
        <is>
          <t>未着手</t>
        </is>
      </c>
      <c r="R597" s="28" t="inlineStr"/>
    </row>
    <row r="598" outlineLevel="1">
      <c r="A598" s="39" t="inlineStr">
        <is>
          <t>P13-01-04</t>
        </is>
      </c>
      <c r="B598" s="39" t="inlineStr">
        <is>
          <t>P13</t>
        </is>
      </c>
      <c r="C598" s="22" t="inlineStr">
        <is>
          <t>保活</t>
        </is>
      </c>
      <c r="D598" s="39" t="n">
        <v>3</v>
      </c>
      <c r="E598" s="40" t="inlineStr">
        <is>
          <t>自分たちの指数を計算する</t>
        </is>
      </c>
      <c r="F598" s="24" t="inlineStr">
        <is>
          <t>点数が分かっている</t>
        </is>
      </c>
      <c r="G598" s="24" t="inlineStr"/>
      <c r="H598" s="24" t="inlineStr"/>
      <c r="I598" s="24" t="inlineStr"/>
      <c r="J598" s="39" t="n">
        <v>43</v>
      </c>
      <c r="K598" s="41">
        <f>EDATE('はじめに'!$C$5,J598)</f>
        <v/>
      </c>
      <c r="L598" s="39" t="inlineStr">
        <is>
          <t>推奨</t>
        </is>
      </c>
      <c r="M598" s="39" t="inlineStr">
        <is>
          <t>2人</t>
        </is>
      </c>
      <c r="N598" s="39" t="inlineStr">
        <is>
          <t>1時間</t>
        </is>
      </c>
      <c r="O598" s="24" t="inlineStr"/>
      <c r="P598" s="24" t="inlineStr"/>
      <c r="Q598" s="38" t="inlineStr">
        <is>
          <t>未着手</t>
        </is>
      </c>
      <c r="R598" s="28" t="inlineStr"/>
    </row>
    <row r="599">
      <c r="A599" s="33" t="inlineStr">
        <is>
          <t>P13-02</t>
        </is>
      </c>
      <c r="B599" s="33" t="inlineStr">
        <is>
          <t>P13</t>
        </is>
      </c>
      <c r="C599" s="34" t="inlineStr">
        <is>
          <t>保活</t>
        </is>
      </c>
      <c r="D599" s="33" t="n">
        <v>2</v>
      </c>
      <c r="E599" s="35" t="inlineStr">
        <is>
          <t>認可保育園に申し込む（4月入園の一次）</t>
        </is>
      </c>
      <c r="F599" s="36" t="inlineStr">
        <is>
          <t>受付印をもらい、控えを保管している</t>
        </is>
      </c>
      <c r="G599" s="36" t="inlineStr">
        <is>
          <t>希望順位をどう並べるか、何園書くか</t>
        </is>
      </c>
      <c r="H599" s="36" t="inlineStr">
        <is>
          <t>認可／認定こども園／小規模（0〜2歳、3歳で転園が必要）／企業主導型（自治体を通さず直接申込）</t>
        </is>
      </c>
      <c r="I599" s="36" t="inlineStr">
        <is>
          <t>自治体により10〜12月が締切。書類不備での不承諾が実際にある。提出前に2人でダブルチェックする。希望園は書ける上限まで書く</t>
        </is>
      </c>
      <c r="J599" s="33" t="n">
        <v>44</v>
      </c>
      <c r="K599" s="37">
        <f>EDATE('はじめに'!$C$5,J599)</f>
        <v/>
      </c>
      <c r="L599" s="33" t="inlineStr">
        <is>
          <t>法定</t>
        </is>
      </c>
      <c r="M599" s="33" t="inlineStr">
        <is>
          <t>2人</t>
        </is>
      </c>
      <c r="N599" s="33" t="inlineStr">
        <is>
          <t>1週間</t>
        </is>
      </c>
      <c r="O599" s="36" t="inlineStr"/>
      <c r="P599" s="36" t="inlineStr">
        <is>
          <t>申込書類の準備</t>
        </is>
      </c>
      <c r="Q599" s="38" t="inlineStr">
        <is>
          <t>未着手</t>
        </is>
      </c>
      <c r="R599" s="28" t="inlineStr"/>
    </row>
    <row r="600" outlineLevel="1">
      <c r="A600" s="39" t="inlineStr">
        <is>
          <t>P13-02-01</t>
        </is>
      </c>
      <c r="B600" s="39" t="inlineStr">
        <is>
          <t>P13</t>
        </is>
      </c>
      <c r="C600" s="22" t="inlineStr">
        <is>
          <t>保活</t>
        </is>
      </c>
      <c r="D600" s="39" t="n">
        <v>3</v>
      </c>
      <c r="E600" s="40" t="inlineStr">
        <is>
          <t>希望順位を決める（通いやすさ・0歳枠の数・過去の内定最低点）</t>
        </is>
      </c>
      <c r="F600" s="24" t="inlineStr">
        <is>
          <t>順位が決まっている</t>
        </is>
      </c>
      <c r="G600" s="24" t="inlineStr"/>
      <c r="H600" s="24" t="inlineStr"/>
      <c r="I600" s="24" t="inlineStr"/>
      <c r="J600" s="39" t="n">
        <v>44</v>
      </c>
      <c r="K600" s="41">
        <f>EDATE('はじめに'!$C$5,J600)</f>
        <v/>
      </c>
      <c r="L600" s="39" t="inlineStr">
        <is>
          <t>推奨</t>
        </is>
      </c>
      <c r="M600" s="39" t="inlineStr">
        <is>
          <t>2人</t>
        </is>
      </c>
      <c r="N600" s="39" t="inlineStr">
        <is>
          <t>2時間</t>
        </is>
      </c>
      <c r="O600" s="24" t="inlineStr"/>
      <c r="P600" s="24" t="inlineStr"/>
      <c r="Q600" s="38" t="inlineStr">
        <is>
          <t>未着手</t>
        </is>
      </c>
      <c r="R600" s="28" t="inlineStr"/>
    </row>
    <row r="601" outlineLevel="1">
      <c r="A601" s="42" t="inlineStr">
        <is>
          <t>P13-02-02</t>
        </is>
      </c>
      <c r="B601" s="42" t="inlineStr">
        <is>
          <t>P13</t>
        </is>
      </c>
      <c r="C601" s="43" t="inlineStr">
        <is>
          <t>保活</t>
        </is>
      </c>
      <c r="D601" s="42" t="n">
        <v>3</v>
      </c>
      <c r="E601" s="44" t="inlineStr">
        <is>
          <t>申込書を記入する</t>
        </is>
      </c>
      <c r="F601" s="45" t="inlineStr">
        <is>
          <t>記入完了</t>
        </is>
      </c>
      <c r="G601" s="45" t="inlineStr"/>
      <c r="H601" s="45" t="inlineStr"/>
      <c r="I601" s="45" t="inlineStr"/>
      <c r="J601" s="42" t="n">
        <v>44</v>
      </c>
      <c r="K601" s="46">
        <f>EDATE('はじめに'!$C$5,J601)</f>
        <v/>
      </c>
      <c r="L601" s="42" t="inlineStr">
        <is>
          <t>推奨</t>
        </is>
      </c>
      <c r="M601" s="42" t="inlineStr">
        <is>
          <t>2人</t>
        </is>
      </c>
      <c r="N601" s="42" t="inlineStr">
        <is>
          <t>2時間</t>
        </is>
      </c>
      <c r="O601" s="45" t="inlineStr"/>
      <c r="P601" s="45" t="inlineStr"/>
      <c r="Q601" s="38" t="inlineStr">
        <is>
          <t>未着手</t>
        </is>
      </c>
      <c r="R601" s="28" t="inlineStr"/>
    </row>
    <row r="602" outlineLevel="1">
      <c r="A602" s="39" t="inlineStr">
        <is>
          <t>P13-02-03</t>
        </is>
      </c>
      <c r="B602" s="39" t="inlineStr">
        <is>
          <t>P13</t>
        </is>
      </c>
      <c r="C602" s="22" t="inlineStr">
        <is>
          <t>保活</t>
        </is>
      </c>
      <c r="D602" s="39" t="n">
        <v>3</v>
      </c>
      <c r="E602" s="40" t="inlineStr">
        <is>
          <t>記入漏れ・添付漏れを2人でダブルチェックする</t>
        </is>
      </c>
      <c r="F602" s="24" t="inlineStr">
        <is>
          <t>チェック済み</t>
        </is>
      </c>
      <c r="G602" s="24" t="inlineStr"/>
      <c r="H602" s="24" t="inlineStr"/>
      <c r="I602" s="24" t="inlineStr"/>
      <c r="J602" s="39" t="n">
        <v>44</v>
      </c>
      <c r="K602" s="41">
        <f>EDATE('はじめに'!$C$5,J602)</f>
        <v/>
      </c>
      <c r="L602" s="39" t="inlineStr">
        <is>
          <t>推奨</t>
        </is>
      </c>
      <c r="M602" s="39" t="inlineStr">
        <is>
          <t>2人</t>
        </is>
      </c>
      <c r="N602" s="39" t="inlineStr">
        <is>
          <t>1時間</t>
        </is>
      </c>
      <c r="O602" s="24" t="inlineStr"/>
      <c r="P602" s="24" t="inlineStr"/>
      <c r="Q602" s="38" t="inlineStr">
        <is>
          <t>未着手</t>
        </is>
      </c>
      <c r="R602" s="28" t="inlineStr"/>
    </row>
    <row r="603" outlineLevel="1">
      <c r="A603" s="42" t="inlineStr">
        <is>
          <t>P13-02-04</t>
        </is>
      </c>
      <c r="B603" s="42" t="inlineStr">
        <is>
          <t>P13</t>
        </is>
      </c>
      <c r="C603" s="43" t="inlineStr">
        <is>
          <t>保活</t>
        </is>
      </c>
      <c r="D603" s="42" t="n">
        <v>3</v>
      </c>
      <c r="E603" s="44" t="inlineStr">
        <is>
          <t>提出する（郵送必着か持参のみかを確認）</t>
        </is>
      </c>
      <c r="F603" s="45" t="inlineStr">
        <is>
          <t>受理されている</t>
        </is>
      </c>
      <c r="G603" s="45" t="inlineStr"/>
      <c r="H603" s="45" t="inlineStr"/>
      <c r="I603" s="45" t="inlineStr"/>
      <c r="J603" s="42" t="n">
        <v>44</v>
      </c>
      <c r="K603" s="46">
        <f>EDATE('はじめに'!$C$5,J603)</f>
        <v/>
      </c>
      <c r="L603" s="42" t="inlineStr">
        <is>
          <t>法定</t>
        </is>
      </c>
      <c r="M603" s="42" t="inlineStr">
        <is>
          <t>2人</t>
        </is>
      </c>
      <c r="N603" s="42" t="inlineStr">
        <is>
          <t>半日</t>
        </is>
      </c>
      <c r="O603" s="45" t="inlineStr"/>
      <c r="P603" s="45" t="inlineStr"/>
      <c r="Q603" s="38" t="inlineStr">
        <is>
          <t>未着手</t>
        </is>
      </c>
      <c r="R603" s="28" t="inlineStr"/>
    </row>
    <row r="604">
      <c r="A604" s="33" t="inlineStr">
        <is>
          <t>P13-03</t>
        </is>
      </c>
      <c r="B604" s="33" t="inlineStr">
        <is>
          <t>P13</t>
        </is>
      </c>
      <c r="C604" s="34" t="inlineStr">
        <is>
          <t>保活</t>
        </is>
      </c>
      <c r="D604" s="33" t="n">
        <v>2</v>
      </c>
      <c r="E604" s="35" t="inlineStr">
        <is>
          <t>認可外・企業主導型に併願する</t>
        </is>
      </c>
      <c r="F604" s="36" t="inlineStr">
        <is>
          <t>保険となる預け先が1つ以上確保できている</t>
        </is>
      </c>
      <c r="G604" s="36" t="inlineStr">
        <is>
          <t>保険をかけるか、どこにかけるか</t>
        </is>
      </c>
      <c r="H604" s="36" t="inlineStr">
        <is>
          <t>認可外保育園／企業主導型／ベビーシッター／一時預かり</t>
        </is>
      </c>
      <c r="I604" s="36" t="inlineStr">
        <is>
          <t>認可外は先着や独自基準で個別に直接申込。認可外の在園実績が認可申込の加点になる自治体がある</t>
        </is>
      </c>
      <c r="J604" s="33" t="n">
        <v>44</v>
      </c>
      <c r="K604" s="37">
        <f>EDATE('はじめに'!$C$5,J604)</f>
        <v/>
      </c>
      <c r="L604" s="33" t="inlineStr">
        <is>
          <t>推奨</t>
        </is>
      </c>
      <c r="M604" s="33" t="inlineStr">
        <is>
          <t>2人</t>
        </is>
      </c>
      <c r="N604" s="33" t="inlineStr">
        <is>
          <t>3週間</t>
        </is>
      </c>
      <c r="O604" s="36" t="inlineStr"/>
      <c r="P604" s="36" t="inlineStr">
        <is>
          <t>保育園の見学</t>
        </is>
      </c>
      <c r="Q604" s="38" t="inlineStr">
        <is>
          <t>未着手</t>
        </is>
      </c>
      <c r="R604" s="28" t="inlineStr"/>
    </row>
    <row r="605" outlineLevel="1">
      <c r="A605" s="42" t="inlineStr">
        <is>
          <t>P13-03-01</t>
        </is>
      </c>
      <c r="B605" s="42" t="inlineStr">
        <is>
          <t>P13</t>
        </is>
      </c>
      <c r="C605" s="43" t="inlineStr">
        <is>
          <t>保活</t>
        </is>
      </c>
      <c r="D605" s="42" t="n">
        <v>3</v>
      </c>
      <c r="E605" s="44" t="inlineStr">
        <is>
          <t>認可外の空き状況と申込方法を確認する</t>
        </is>
      </c>
      <c r="F605" s="45" t="inlineStr">
        <is>
          <t>申込方法が分かっている</t>
        </is>
      </c>
      <c r="G605" s="45" t="inlineStr"/>
      <c r="H605" s="45" t="inlineStr"/>
      <c r="I605" s="45" t="inlineStr"/>
      <c r="J605" s="42" t="n">
        <v>44</v>
      </c>
      <c r="K605" s="46">
        <f>EDATE('はじめに'!$C$5,J605)</f>
        <v/>
      </c>
      <c r="L605" s="42" t="inlineStr">
        <is>
          <t>推奨</t>
        </is>
      </c>
      <c r="M605" s="42" t="inlineStr">
        <is>
          <t>どちらか</t>
        </is>
      </c>
      <c r="N605" s="42" t="inlineStr">
        <is>
          <t>2時間</t>
        </is>
      </c>
      <c r="O605" s="45" t="inlineStr"/>
      <c r="P605" s="45" t="inlineStr"/>
      <c r="Q605" s="38" t="inlineStr">
        <is>
          <t>未着手</t>
        </is>
      </c>
      <c r="R605" s="28" t="inlineStr"/>
    </row>
    <row r="606" outlineLevel="1">
      <c r="A606" s="39" t="inlineStr">
        <is>
          <t>P13-03-02</t>
        </is>
      </c>
      <c r="B606" s="39" t="inlineStr">
        <is>
          <t>P13</t>
        </is>
      </c>
      <c r="C606" s="22" t="inlineStr">
        <is>
          <t>保活</t>
        </is>
      </c>
      <c r="D606" s="39" t="n">
        <v>3</v>
      </c>
      <c r="E606" s="40" t="inlineStr">
        <is>
          <t>申し込む（申込金が必要な園がある）</t>
        </is>
      </c>
      <c r="F606" s="24" t="inlineStr">
        <is>
          <t>申込済み</t>
        </is>
      </c>
      <c r="G606" s="24" t="inlineStr"/>
      <c r="H606" s="24" t="inlineStr"/>
      <c r="I606" s="24" t="inlineStr"/>
      <c r="J606" s="39" t="n">
        <v>44</v>
      </c>
      <c r="K606" s="41">
        <f>EDATE('はじめに'!$C$5,J606)</f>
        <v/>
      </c>
      <c r="L606" s="39" t="inlineStr">
        <is>
          <t>推奨</t>
        </is>
      </c>
      <c r="M606" s="39" t="inlineStr">
        <is>
          <t>2人</t>
        </is>
      </c>
      <c r="N606" s="39" t="inlineStr">
        <is>
          <t>2時間</t>
        </is>
      </c>
      <c r="O606" s="24" t="inlineStr"/>
      <c r="P606" s="24" t="inlineStr"/>
      <c r="Q606" s="38" t="inlineStr">
        <is>
          <t>未着手</t>
        </is>
      </c>
      <c r="R606" s="28" t="inlineStr"/>
    </row>
    <row r="607">
      <c r="A607" s="33" t="inlineStr">
        <is>
          <t>P13-04</t>
        </is>
      </c>
      <c r="B607" s="33" t="inlineStr">
        <is>
          <t>P13</t>
        </is>
      </c>
      <c r="C607" s="34" t="inlineStr">
        <is>
          <t>保活</t>
        </is>
      </c>
      <c r="D607" s="33" t="n">
        <v>2</v>
      </c>
      <c r="E607" s="35" t="inlineStr">
        <is>
          <t>こども誰でも通園制度の利用を検討する</t>
        </is>
      </c>
      <c r="F607" s="36" t="inlineStr">
        <is>
          <t>使う／使わないが決まっている</t>
        </is>
      </c>
      <c r="G607" s="36" t="inlineStr">
        <is>
          <t>育休中に使うか</t>
        </is>
      </c>
      <c r="H607" s="36" t="inlineStr">
        <is>
          <t>月一定時間まで、生後6ヶ月〜満3歳未満の未就園児が対象</t>
        </is>
      </c>
      <c r="I607" s="36" t="inlineStr">
        <is>
          <t>2026年4月から本格実施。育休中でも使える。母の休息と、子の集団慣らしの両方に効く。自治体の受付方法を確認する</t>
        </is>
      </c>
      <c r="J607" s="33" t="n">
        <v>43</v>
      </c>
      <c r="K607" s="37">
        <f>EDATE('はじめに'!$C$5,J607)</f>
        <v/>
      </c>
      <c r="L607" s="33" t="inlineStr">
        <is>
          <t>任意</t>
        </is>
      </c>
      <c r="M607" s="33" t="inlineStr">
        <is>
          <t>2人</t>
        </is>
      </c>
      <c r="N607" s="33" t="inlineStr">
        <is>
          <t>2時間</t>
        </is>
      </c>
      <c r="O607" s="36" t="inlineStr"/>
      <c r="P607" s="36" t="inlineStr"/>
      <c r="Q607" s="38" t="inlineStr">
        <is>
          <t>未着手</t>
        </is>
      </c>
      <c r="R607" s="28" t="inlineStr"/>
    </row>
    <row r="608">
      <c r="A608" s="33" t="inlineStr">
        <is>
          <t>P13-05</t>
        </is>
      </c>
      <c r="B608" s="33" t="inlineStr">
        <is>
          <t>P13</t>
        </is>
      </c>
      <c r="C608" s="34" t="inlineStr">
        <is>
          <t>医療</t>
        </is>
      </c>
      <c r="D608" s="33" t="n">
        <v>2</v>
      </c>
      <c r="E608" s="35" t="inlineStr">
        <is>
          <t>健診と予防接種を継続する</t>
        </is>
      </c>
      <c r="F608" s="36" t="inlineStr">
        <is>
          <t>9-10ヶ月健診と必要な接種が完了している</t>
        </is>
      </c>
      <c r="G608" s="36" t="inlineStr"/>
      <c r="H608" s="36" t="inlineStr"/>
      <c r="I608" s="36" t="inlineStr"/>
      <c r="J608" s="33" t="n">
        <v>45</v>
      </c>
      <c r="K608" s="37">
        <f>EDATE('はじめに'!$C$5,J608)</f>
        <v/>
      </c>
      <c r="L608" s="33" t="inlineStr">
        <is>
          <t>推奨</t>
        </is>
      </c>
      <c r="M608" s="33" t="inlineStr">
        <is>
          <t>2人</t>
        </is>
      </c>
      <c r="N608" s="33" t="inlineStr">
        <is>
          <t>継続</t>
        </is>
      </c>
      <c r="O608" s="36" t="inlineStr">
        <is>
          <t>0〜5,000円</t>
        </is>
      </c>
      <c r="P608" s="36" t="inlineStr">
        <is>
          <t>予防接種の実行</t>
        </is>
      </c>
      <c r="Q608" s="38" t="inlineStr">
        <is>
          <t>未着手</t>
        </is>
      </c>
      <c r="R608" s="28" t="inlineStr"/>
    </row>
    <row r="609" outlineLevel="1">
      <c r="A609" s="42" t="inlineStr">
        <is>
          <t>P13-05-01</t>
        </is>
      </c>
      <c r="B609" s="42" t="inlineStr">
        <is>
          <t>P13</t>
        </is>
      </c>
      <c r="C609" s="43" t="inlineStr">
        <is>
          <t>医療</t>
        </is>
      </c>
      <c r="D609" s="42" t="n">
        <v>3</v>
      </c>
      <c r="E609" s="44" t="inlineStr">
        <is>
          <t>B型肝炎③を接種する（1回目から139日以上あける。忘れやすい）</t>
        </is>
      </c>
      <c r="F609" s="45" t="inlineStr">
        <is>
          <t>接種済み</t>
        </is>
      </c>
      <c r="G609" s="45" t="inlineStr"/>
      <c r="H609" s="45" t="inlineStr"/>
      <c r="I609" s="45" t="inlineStr"/>
      <c r="J609" s="42" t="n">
        <v>43</v>
      </c>
      <c r="K609" s="46">
        <f>EDATE('はじめに'!$C$5,J609)</f>
        <v/>
      </c>
      <c r="L609" s="42" t="inlineStr">
        <is>
          <t>法定</t>
        </is>
      </c>
      <c r="M609" s="42" t="inlineStr">
        <is>
          <t>2人</t>
        </is>
      </c>
      <c r="N609" s="42" t="inlineStr">
        <is>
          <t>半日</t>
        </is>
      </c>
      <c r="O609" s="45" t="inlineStr"/>
      <c r="P609" s="45" t="inlineStr"/>
      <c r="Q609" s="38" t="inlineStr">
        <is>
          <t>未着手</t>
        </is>
      </c>
      <c r="R609" s="28" t="inlineStr"/>
    </row>
    <row r="610" outlineLevel="1">
      <c r="A610" s="39" t="inlineStr">
        <is>
          <t>P13-05-02</t>
        </is>
      </c>
      <c r="B610" s="39" t="inlineStr">
        <is>
          <t>P13</t>
        </is>
      </c>
      <c r="C610" s="22" t="inlineStr">
        <is>
          <t>医療</t>
        </is>
      </c>
      <c r="D610" s="39" t="n">
        <v>3</v>
      </c>
      <c r="E610" s="40" t="inlineStr">
        <is>
          <t>9〜10ヶ月児健診を受ける</t>
        </is>
      </c>
      <c r="F610" s="24" t="inlineStr">
        <is>
          <t>受診済み</t>
        </is>
      </c>
      <c r="G610" s="24" t="inlineStr"/>
      <c r="H610" s="24" t="inlineStr"/>
      <c r="I610" s="24" t="inlineStr"/>
      <c r="J610" s="39" t="n">
        <v>45</v>
      </c>
      <c r="K610" s="41">
        <f>EDATE('はじめに'!$C$5,J610)</f>
        <v/>
      </c>
      <c r="L610" s="39" t="inlineStr">
        <is>
          <t>推奨</t>
        </is>
      </c>
      <c r="M610" s="39" t="inlineStr">
        <is>
          <t>2人</t>
        </is>
      </c>
      <c r="N610" s="39" t="inlineStr">
        <is>
          <t>半日</t>
        </is>
      </c>
      <c r="O610" s="24" t="inlineStr"/>
      <c r="P610" s="24" t="inlineStr"/>
      <c r="Q610" s="38" t="inlineStr">
        <is>
          <t>未着手</t>
        </is>
      </c>
      <c r="R610" s="28" t="inlineStr"/>
    </row>
    <row r="611" outlineLevel="1">
      <c r="A611" s="42" t="inlineStr">
        <is>
          <t>P13-05-03</t>
        </is>
      </c>
      <c r="B611" s="42" t="inlineStr">
        <is>
          <t>P13</t>
        </is>
      </c>
      <c r="C611" s="43" t="inlineStr">
        <is>
          <t>医療</t>
        </is>
      </c>
      <c r="D611" s="42" t="n">
        <v>3</v>
      </c>
      <c r="E611" s="44" t="inlineStr">
        <is>
          <t>インフルエンザ予防接種（生後6ヶ月から、シーズン時は2回）</t>
        </is>
      </c>
      <c r="F611" s="45" t="inlineStr">
        <is>
          <t>接種済み</t>
        </is>
      </c>
      <c r="G611" s="45" t="inlineStr"/>
      <c r="H611" s="45" t="inlineStr"/>
      <c r="I611" s="45" t="inlineStr"/>
      <c r="J611" s="42" t="n">
        <v>44</v>
      </c>
      <c r="K611" s="46">
        <f>EDATE('はじめに'!$C$5,J611)</f>
        <v/>
      </c>
      <c r="L611" s="42" t="inlineStr">
        <is>
          <t>任意</t>
        </is>
      </c>
      <c r="M611" s="42" t="inlineStr">
        <is>
          <t>2人</t>
        </is>
      </c>
      <c r="N611" s="42" t="inlineStr">
        <is>
          <t>半日</t>
        </is>
      </c>
      <c r="O611" s="45" t="inlineStr"/>
      <c r="P611" s="45" t="inlineStr"/>
      <c r="Q611" s="38" t="inlineStr">
        <is>
          <t>未着手</t>
        </is>
      </c>
      <c r="R611" s="28" t="inlineStr"/>
    </row>
    <row r="612" outlineLevel="1">
      <c r="A612" s="39" t="inlineStr">
        <is>
          <t>P13-05-04</t>
        </is>
      </c>
      <c r="B612" s="39" t="inlineStr">
        <is>
          <t>P13</t>
        </is>
      </c>
      <c r="C612" s="22" t="inlineStr">
        <is>
          <t>医療</t>
        </is>
      </c>
      <c r="D612" s="39" t="n">
        <v>3</v>
      </c>
      <c r="E612" s="40" t="inlineStr">
        <is>
          <t>1歳の予防接種を1ヶ月前に予約する（MR・水痘・おたふく・肺炎球菌・五種混合・ヒブ）</t>
        </is>
      </c>
      <c r="F612" s="24" t="inlineStr">
        <is>
          <t>誕生日当日の予約が取れている</t>
        </is>
      </c>
      <c r="G612" s="24" t="inlineStr"/>
      <c r="H612" s="24" t="inlineStr"/>
      <c r="I612" s="24" t="inlineStr"/>
      <c r="J612" s="39" t="n">
        <v>46</v>
      </c>
      <c r="K612" s="41">
        <f>EDATE('はじめに'!$C$5,J612)</f>
        <v/>
      </c>
      <c r="L612" s="39" t="inlineStr">
        <is>
          <t>法定</t>
        </is>
      </c>
      <c r="M612" s="39" t="inlineStr">
        <is>
          <t>パートナー</t>
        </is>
      </c>
      <c r="N612" s="39" t="inlineStr">
        <is>
          <t>30分</t>
        </is>
      </c>
      <c r="O612" s="24" t="inlineStr"/>
      <c r="P612" s="24" t="inlineStr"/>
      <c r="Q612" s="38" t="inlineStr">
        <is>
          <t>未着手</t>
        </is>
      </c>
      <c r="R612" s="28" t="inlineStr"/>
    </row>
    <row r="613" outlineLevel="1">
      <c r="A613" s="42" t="inlineStr">
        <is>
          <t>P13-05-05</t>
        </is>
      </c>
      <c r="B613" s="42" t="inlineStr">
        <is>
          <t>P13</t>
        </is>
      </c>
      <c r="C613" s="43" t="inlineStr">
        <is>
          <t>医療</t>
        </is>
      </c>
      <c r="D613" s="42" t="n">
        <v>3</v>
      </c>
      <c r="E613" s="44" t="inlineStr">
        <is>
          <t>乳歯が生えたら歯磨きを始める（就寝前の授乳後は特に）</t>
        </is>
      </c>
      <c r="F613" s="45" t="inlineStr">
        <is>
          <t>習慣になっている</t>
        </is>
      </c>
      <c r="G613" s="45" t="inlineStr"/>
      <c r="H613" s="45" t="inlineStr"/>
      <c r="I613" s="45" t="inlineStr"/>
      <c r="J613" s="42" t="n">
        <v>44</v>
      </c>
      <c r="K613" s="46">
        <f>EDATE('はじめに'!$C$5,J613)</f>
        <v/>
      </c>
      <c r="L613" s="42" t="inlineStr">
        <is>
          <t>推奨</t>
        </is>
      </c>
      <c r="M613" s="42" t="inlineStr">
        <is>
          <t>2人</t>
        </is>
      </c>
      <c r="N613" s="42" t="inlineStr">
        <is>
          <t>継続</t>
        </is>
      </c>
      <c r="O613" s="45" t="inlineStr"/>
      <c r="P613" s="45" t="inlineStr"/>
      <c r="Q613" s="38" t="inlineStr">
        <is>
          <t>未着手</t>
        </is>
      </c>
      <c r="R613" s="28" t="inlineStr"/>
    </row>
    <row r="614" outlineLevel="1">
      <c r="A614" s="39" t="inlineStr">
        <is>
          <t>P13-05-06</t>
        </is>
      </c>
      <c r="B614" s="39" t="inlineStr">
        <is>
          <t>P13</t>
        </is>
      </c>
      <c r="C614" s="22" t="inlineStr">
        <is>
          <t>医療</t>
        </is>
      </c>
      <c r="D614" s="39" t="n">
        <v>3</v>
      </c>
      <c r="E614" s="40" t="inlineStr">
        <is>
          <t>突発性発疹など初めての高熱に備える（#8000を登録済みか確認）</t>
        </is>
      </c>
      <c r="F614" s="24" t="inlineStr">
        <is>
          <t>対応できる状態</t>
        </is>
      </c>
      <c r="G614" s="24" t="inlineStr"/>
      <c r="H614" s="24" t="inlineStr"/>
      <c r="I614" s="24" t="inlineStr"/>
      <c r="J614" s="39" t="n">
        <v>43</v>
      </c>
      <c r="K614" s="41">
        <f>EDATE('はじめに'!$C$5,J614)</f>
        <v/>
      </c>
      <c r="L614" s="39" t="inlineStr">
        <is>
          <t>推奨</t>
        </is>
      </c>
      <c r="M614" s="39" t="inlineStr">
        <is>
          <t>2人</t>
        </is>
      </c>
      <c r="N614" s="39" t="inlineStr">
        <is>
          <t>15分</t>
        </is>
      </c>
      <c r="O614" s="24" t="inlineStr"/>
      <c r="P614" s="24" t="inlineStr"/>
      <c r="Q614" s="38" t="inlineStr">
        <is>
          <t>未着手</t>
        </is>
      </c>
      <c r="R614" s="28" t="inlineStr"/>
    </row>
    <row r="615">
      <c r="A615" s="33" t="inlineStr">
        <is>
          <t>P13-06</t>
        </is>
      </c>
      <c r="B615" s="33" t="inlineStr">
        <is>
          <t>P13</t>
        </is>
      </c>
      <c r="C615" s="34" t="inlineStr">
        <is>
          <t>離乳食</t>
        </is>
      </c>
      <c r="D615" s="33" t="n">
        <v>2</v>
      </c>
      <c r="E615" s="35" t="inlineStr">
        <is>
          <t>3回食（カミカミ期）へ移行する</t>
        </is>
      </c>
      <c r="F615" s="36" t="inlineStr">
        <is>
          <t>1日3回の食事が定着している</t>
        </is>
      </c>
      <c r="G615" s="36" t="inlineStr"/>
      <c r="H615" s="36" t="inlineStr"/>
      <c r="I615" s="36" t="inlineStr"/>
      <c r="J615" s="33" t="n">
        <v>45</v>
      </c>
      <c r="K615" s="37">
        <f>EDATE('はじめに'!$C$5,J615)</f>
        <v/>
      </c>
      <c r="L615" s="33" t="inlineStr">
        <is>
          <t>推奨</t>
        </is>
      </c>
      <c r="M615" s="33" t="inlineStr">
        <is>
          <t>2人</t>
        </is>
      </c>
      <c r="N615" s="33" t="inlineStr">
        <is>
          <t>1ヶ月</t>
        </is>
      </c>
      <c r="O615" s="36" t="inlineStr"/>
      <c r="P615" s="36" t="inlineStr">
        <is>
          <t>離乳食の開始</t>
        </is>
      </c>
      <c r="Q615" s="38" t="inlineStr">
        <is>
          <t>未着手</t>
        </is>
      </c>
      <c r="R615" s="28" t="inlineStr"/>
    </row>
    <row r="616" outlineLevel="1">
      <c r="A616" s="39" t="inlineStr">
        <is>
          <t>P13-06-01</t>
        </is>
      </c>
      <c r="B616" s="39" t="inlineStr">
        <is>
          <t>P13</t>
        </is>
      </c>
      <c r="C616" s="22" t="inlineStr">
        <is>
          <t>離乳食</t>
        </is>
      </c>
      <c r="D616" s="39" t="n">
        <v>3</v>
      </c>
      <c r="E616" s="40" t="inlineStr">
        <is>
          <t>2回食から3回食に増やす</t>
        </is>
      </c>
      <c r="F616" s="24" t="inlineStr">
        <is>
          <t>3回になっている</t>
        </is>
      </c>
      <c r="G616" s="24" t="inlineStr"/>
      <c r="H616" s="24" t="inlineStr"/>
      <c r="I616" s="24" t="inlineStr"/>
      <c r="J616" s="39" t="n">
        <v>45</v>
      </c>
      <c r="K616" s="41">
        <f>EDATE('はじめに'!$C$5,J616)</f>
        <v/>
      </c>
      <c r="L616" s="39" t="inlineStr">
        <is>
          <t>推奨</t>
        </is>
      </c>
      <c r="M616" s="39" t="inlineStr">
        <is>
          <t>2人</t>
        </is>
      </c>
      <c r="N616" s="39" t="inlineStr">
        <is>
          <t>-</t>
        </is>
      </c>
      <c r="O616" s="24" t="inlineStr"/>
      <c r="P616" s="24" t="inlineStr"/>
      <c r="Q616" s="38" t="inlineStr">
        <is>
          <t>未着手</t>
        </is>
      </c>
      <c r="R616" s="28" t="inlineStr"/>
    </row>
    <row r="617" outlineLevel="1">
      <c r="A617" s="42" t="inlineStr">
        <is>
          <t>P13-06-02</t>
        </is>
      </c>
      <c r="B617" s="42" t="inlineStr">
        <is>
          <t>P13</t>
        </is>
      </c>
      <c r="C617" s="43" t="inlineStr">
        <is>
          <t>離乳食</t>
        </is>
      </c>
      <c r="D617" s="42" t="n">
        <v>3</v>
      </c>
      <c r="E617" s="44" t="inlineStr">
        <is>
          <t>鉄分を意識したメニューにする（赤身肉・レバー・鉄強化ベビーフード）</t>
        </is>
      </c>
      <c r="F617" s="45" t="inlineStr">
        <is>
          <t>鉄源が入っている</t>
        </is>
      </c>
      <c r="G617" s="45" t="inlineStr"/>
      <c r="H617" s="45" t="inlineStr"/>
      <c r="I617" s="45" t="inlineStr"/>
      <c r="J617" s="42" t="n">
        <v>45</v>
      </c>
      <c r="K617" s="46">
        <f>EDATE('はじめに'!$C$5,J617)</f>
        <v/>
      </c>
      <c r="L617" s="42" t="inlineStr">
        <is>
          <t>推奨</t>
        </is>
      </c>
      <c r="M617" s="42" t="inlineStr">
        <is>
          <t>2人</t>
        </is>
      </c>
      <c r="N617" s="42" t="inlineStr">
        <is>
          <t>継続</t>
        </is>
      </c>
      <c r="O617" s="45" t="inlineStr"/>
      <c r="P617" s="45" t="inlineStr"/>
      <c r="Q617" s="38" t="inlineStr">
        <is>
          <t>未着手</t>
        </is>
      </c>
      <c r="R617" s="28" t="inlineStr"/>
    </row>
    <row r="618" outlineLevel="1">
      <c r="A618" s="39" t="inlineStr">
        <is>
          <t>P13-06-03</t>
        </is>
      </c>
      <c r="B618" s="39" t="inlineStr">
        <is>
          <t>P13</t>
        </is>
      </c>
      <c r="C618" s="22" t="inlineStr">
        <is>
          <t>離乳食</t>
        </is>
      </c>
      <c r="D618" s="39" t="n">
        <v>3</v>
      </c>
      <c r="E618" s="40" t="inlineStr">
        <is>
          <t>手づかみ食べを始める（つかめる硬さの野菜スティック）</t>
        </is>
      </c>
      <c r="F618" s="24" t="inlineStr">
        <is>
          <t>自分で食べている</t>
        </is>
      </c>
      <c r="G618" s="24" t="inlineStr"/>
      <c r="H618" s="24" t="inlineStr"/>
      <c r="I618" s="24" t="inlineStr"/>
      <c r="J618" s="39" t="n">
        <v>45</v>
      </c>
      <c r="K618" s="41">
        <f>EDATE('はじめに'!$C$5,J618)</f>
        <v/>
      </c>
      <c r="L618" s="39" t="inlineStr">
        <is>
          <t>推奨</t>
        </is>
      </c>
      <c r="M618" s="39" t="inlineStr">
        <is>
          <t>2人</t>
        </is>
      </c>
      <c r="N618" s="39" t="inlineStr">
        <is>
          <t>継続</t>
        </is>
      </c>
      <c r="O618" s="24" t="inlineStr"/>
      <c r="P618" s="24" t="inlineStr"/>
      <c r="Q618" s="38" t="inlineStr">
        <is>
          <t>未着手</t>
        </is>
      </c>
      <c r="R618" s="28" t="inlineStr"/>
    </row>
    <row r="619" outlineLevel="1">
      <c r="A619" s="42" t="inlineStr">
        <is>
          <t>P13-06-04</t>
        </is>
      </c>
      <c r="B619" s="42" t="inlineStr">
        <is>
          <t>P13</t>
        </is>
      </c>
      <c r="C619" s="43" t="inlineStr">
        <is>
          <t>離乳食</t>
        </is>
      </c>
      <c r="D619" s="42" t="n">
        <v>3</v>
      </c>
      <c r="E619" s="44" t="inlineStr">
        <is>
          <t>家族と同じ時間に食卓につく</t>
        </is>
      </c>
      <c r="F619" s="45" t="inlineStr">
        <is>
          <t>一緒に食べている</t>
        </is>
      </c>
      <c r="G619" s="45" t="inlineStr"/>
      <c r="H619" s="45" t="inlineStr"/>
      <c r="I619" s="45" t="inlineStr"/>
      <c r="J619" s="42" t="n">
        <v>45</v>
      </c>
      <c r="K619" s="46">
        <f>EDATE('はじめに'!$C$5,J619)</f>
        <v/>
      </c>
      <c r="L619" s="42" t="inlineStr">
        <is>
          <t>任意</t>
        </is>
      </c>
      <c r="M619" s="42" t="inlineStr">
        <is>
          <t>2人</t>
        </is>
      </c>
      <c r="N619" s="42" t="inlineStr">
        <is>
          <t>継続</t>
        </is>
      </c>
      <c r="O619" s="45" t="inlineStr"/>
      <c r="P619" s="45" t="inlineStr"/>
      <c r="Q619" s="38" t="inlineStr">
        <is>
          <t>未着手</t>
        </is>
      </c>
      <c r="R619" s="28" t="inlineStr"/>
    </row>
    <row r="620" outlineLevel="1">
      <c r="A620" s="39" t="inlineStr">
        <is>
          <t>P13-06-05</t>
        </is>
      </c>
      <c r="B620" s="39" t="inlineStr">
        <is>
          <t>P13</t>
        </is>
      </c>
      <c r="C620" s="22" t="inlineStr">
        <is>
          <t>離乳食</t>
        </is>
      </c>
      <c r="D620" s="39" t="n">
        <v>3</v>
      </c>
      <c r="E620" s="40" t="inlineStr">
        <is>
          <t>1歳未満のはちみつ禁止を最後まで徹底する</t>
        </is>
      </c>
      <c r="F620" s="24" t="inlineStr">
        <is>
          <t>誤食がない</t>
        </is>
      </c>
      <c r="G620" s="24" t="inlineStr"/>
      <c r="H620" s="24" t="inlineStr"/>
      <c r="I620" s="24" t="inlineStr"/>
      <c r="J620" s="39" t="n">
        <v>45</v>
      </c>
      <c r="K620" s="41">
        <f>EDATE('はじめに'!$C$5,J620)</f>
        <v/>
      </c>
      <c r="L620" s="39" t="inlineStr">
        <is>
          <t>推奨</t>
        </is>
      </c>
      <c r="M620" s="39" t="inlineStr">
        <is>
          <t>2人</t>
        </is>
      </c>
      <c r="N620" s="39" t="inlineStr">
        <is>
          <t>継続</t>
        </is>
      </c>
      <c r="O620" s="24" t="inlineStr"/>
      <c r="P620" s="24" t="inlineStr"/>
      <c r="Q620" s="38" t="inlineStr">
        <is>
          <t>未着手</t>
        </is>
      </c>
      <c r="R620" s="28" t="inlineStr"/>
    </row>
    <row r="621">
      <c r="A621" s="33" t="inlineStr">
        <is>
          <t>P13-07</t>
        </is>
      </c>
      <c r="B621" s="33" t="inlineStr">
        <is>
          <t>P13</t>
        </is>
      </c>
      <c r="C621" s="34" t="inlineStr">
        <is>
          <t>安全</t>
        </is>
      </c>
      <c r="D621" s="33" t="n">
        <v>2</v>
      </c>
      <c r="E621" s="35" t="inlineStr">
        <is>
          <t>ハイハイ・つかまり立ちに合わせて家中を安全化する</t>
        </is>
      </c>
      <c r="F621" s="36" t="inlineStr">
        <is>
          <t>床から40cmの高さで危険物がゼロになっている</t>
        </is>
      </c>
      <c r="G621" s="36" t="inlineStr">
        <is>
          <t>どこまでやるか</t>
        </is>
      </c>
      <c r="H621" s="36" t="inlineStr">
        <is>
          <t>ベビーゲート（日本育児／カトージ／Lascal）／コンセントカバー／引き出しロック／家具転倒防止／テーブル角ガード</t>
        </is>
      </c>
      <c r="I621" s="36" t="inlineStr">
        <is>
          <t>床から40cmの目線で家を1周して点検する。トイレットペーパーの芯を通るものは全部誤飲する。ボタン電池・磁石・タバコは最優先で撤去。浴槽の残し湯をしない</t>
        </is>
      </c>
      <c r="J621" s="33" t="n">
        <v>45</v>
      </c>
      <c r="K621" s="37">
        <f>EDATE('はじめに'!$C$5,J621)</f>
        <v/>
      </c>
      <c r="L621" s="33" t="inlineStr">
        <is>
          <t>推奨</t>
        </is>
      </c>
      <c r="M621" s="33" t="inlineStr">
        <is>
          <t>パートナー</t>
        </is>
      </c>
      <c r="N621" s="33" t="inlineStr">
        <is>
          <t>1日</t>
        </is>
      </c>
      <c r="O621" s="36" t="inlineStr">
        <is>
          <t>1〜3万円</t>
        </is>
      </c>
      <c r="P621" s="36" t="inlineStr">
        <is>
          <t>寝返り前の安全化</t>
        </is>
      </c>
      <c r="Q621" s="38" t="inlineStr">
        <is>
          <t>未着手</t>
        </is>
      </c>
      <c r="R621" s="28" t="inlineStr"/>
    </row>
    <row r="622" outlineLevel="1">
      <c r="A622" s="39" t="inlineStr">
        <is>
          <t>P13-07-01</t>
        </is>
      </c>
      <c r="B622" s="39" t="inlineStr">
        <is>
          <t>P13</t>
        </is>
      </c>
      <c r="C622" s="22" t="inlineStr">
        <is>
          <t>安全</t>
        </is>
      </c>
      <c r="D622" s="39" t="n">
        <v>3</v>
      </c>
      <c r="E622" s="40" t="inlineStr">
        <is>
          <t>床から40cmの高さで家を1周し、危険物を写真に撮る</t>
        </is>
      </c>
      <c r="F622" s="24" t="inlineStr">
        <is>
          <t>危険箇所リストができている</t>
        </is>
      </c>
      <c r="G622" s="24" t="inlineStr"/>
      <c r="H622" s="24" t="inlineStr"/>
      <c r="I622" s="24" t="inlineStr"/>
      <c r="J622" s="39" t="n">
        <v>45</v>
      </c>
      <c r="K622" s="41">
        <f>EDATE('はじめに'!$C$5,J622)</f>
        <v/>
      </c>
      <c r="L622" s="39" t="inlineStr">
        <is>
          <t>推奨</t>
        </is>
      </c>
      <c r="M622" s="39" t="inlineStr">
        <is>
          <t>2人</t>
        </is>
      </c>
      <c r="N622" s="39" t="inlineStr">
        <is>
          <t>1時間</t>
        </is>
      </c>
      <c r="O622" s="24" t="inlineStr"/>
      <c r="P622" s="24" t="inlineStr"/>
      <c r="Q622" s="38" t="inlineStr">
        <is>
          <t>未着手</t>
        </is>
      </c>
      <c r="R622" s="28" t="inlineStr"/>
    </row>
    <row r="623" outlineLevel="1">
      <c r="A623" s="42" t="inlineStr">
        <is>
          <t>P13-07-02</t>
        </is>
      </c>
      <c r="B623" s="42" t="inlineStr">
        <is>
          <t>P13</t>
        </is>
      </c>
      <c r="C623" s="43" t="inlineStr">
        <is>
          <t>安全</t>
        </is>
      </c>
      <c r="D623" s="42" t="n">
        <v>3</v>
      </c>
      <c r="E623" s="44" t="inlineStr">
        <is>
          <t>ボタン電池・磁石・タバコ・薬・洗剤を手の届かない場所へ移す</t>
        </is>
      </c>
      <c r="F623" s="45" t="inlineStr">
        <is>
          <t>撤去済み</t>
        </is>
      </c>
      <c r="G623" s="45" t="inlineStr"/>
      <c r="H623" s="45" t="inlineStr"/>
      <c r="I623" s="45" t="inlineStr"/>
      <c r="J623" s="42" t="n">
        <v>45</v>
      </c>
      <c r="K623" s="46">
        <f>EDATE('はじめに'!$C$5,J623)</f>
        <v/>
      </c>
      <c r="L623" s="42" t="inlineStr">
        <is>
          <t>推奨</t>
        </is>
      </c>
      <c r="M623" s="42" t="inlineStr">
        <is>
          <t>2人</t>
        </is>
      </c>
      <c r="N623" s="42" t="inlineStr">
        <is>
          <t>2時間</t>
        </is>
      </c>
      <c r="O623" s="45" t="inlineStr"/>
      <c r="P623" s="45" t="inlineStr"/>
      <c r="Q623" s="38" t="inlineStr">
        <is>
          <t>未着手</t>
        </is>
      </c>
      <c r="R623" s="28" t="inlineStr"/>
    </row>
    <row r="624" outlineLevel="1">
      <c r="A624" s="39" t="inlineStr">
        <is>
          <t>P13-07-03</t>
        </is>
      </c>
      <c r="B624" s="39" t="inlineStr">
        <is>
          <t>P13</t>
        </is>
      </c>
      <c r="C624" s="22" t="inlineStr">
        <is>
          <t>安全</t>
        </is>
      </c>
      <c r="D624" s="39" t="n">
        <v>3</v>
      </c>
      <c r="E624" s="40" t="inlineStr">
        <is>
          <t>ベビーゲート（キッチン・階段）を設置する</t>
        </is>
      </c>
      <c r="F624" s="24" t="inlineStr">
        <is>
          <t>設置済み</t>
        </is>
      </c>
      <c r="G624" s="24" t="inlineStr"/>
      <c r="H624" s="24" t="inlineStr"/>
      <c r="I624" s="24" t="inlineStr"/>
      <c r="J624" s="39" t="n">
        <v>45</v>
      </c>
      <c r="K624" s="41">
        <f>EDATE('はじめに'!$C$5,J624)</f>
        <v/>
      </c>
      <c r="L624" s="39" t="inlineStr">
        <is>
          <t>推奨</t>
        </is>
      </c>
      <c r="M624" s="39" t="inlineStr">
        <is>
          <t>パートナー</t>
        </is>
      </c>
      <c r="N624" s="39" t="inlineStr">
        <is>
          <t>半日</t>
        </is>
      </c>
      <c r="O624" s="24" t="inlineStr"/>
      <c r="P624" s="24" t="inlineStr"/>
      <c r="Q624" s="38" t="inlineStr">
        <is>
          <t>未着手</t>
        </is>
      </c>
      <c r="R624" s="28" t="inlineStr"/>
    </row>
    <row r="625" outlineLevel="1">
      <c r="A625" s="42" t="inlineStr">
        <is>
          <t>P13-07-04</t>
        </is>
      </c>
      <c r="B625" s="42" t="inlineStr">
        <is>
          <t>P13</t>
        </is>
      </c>
      <c r="C625" s="43" t="inlineStr">
        <is>
          <t>安全</t>
        </is>
      </c>
      <c r="D625" s="42" t="n">
        <v>3</v>
      </c>
      <c r="E625" s="44" t="inlineStr">
        <is>
          <t>家具の転倒防止・引き出しロック・コンセントカバーを付ける</t>
        </is>
      </c>
      <c r="F625" s="45" t="inlineStr">
        <is>
          <t>対策済み</t>
        </is>
      </c>
      <c r="G625" s="45" t="inlineStr"/>
      <c r="H625" s="45" t="inlineStr"/>
      <c r="I625" s="45" t="inlineStr"/>
      <c r="J625" s="42" t="n">
        <v>45</v>
      </c>
      <c r="K625" s="46">
        <f>EDATE('はじめに'!$C$5,J625)</f>
        <v/>
      </c>
      <c r="L625" s="42" t="inlineStr">
        <is>
          <t>推奨</t>
        </is>
      </c>
      <c r="M625" s="42" t="inlineStr">
        <is>
          <t>パートナー</t>
        </is>
      </c>
      <c r="N625" s="42" t="inlineStr">
        <is>
          <t>半日</t>
        </is>
      </c>
      <c r="O625" s="45" t="inlineStr"/>
      <c r="P625" s="45" t="inlineStr"/>
      <c r="Q625" s="38" t="inlineStr">
        <is>
          <t>未着手</t>
        </is>
      </c>
      <c r="R625" s="28" t="inlineStr"/>
    </row>
    <row r="626" outlineLevel="1">
      <c r="A626" s="39" t="inlineStr">
        <is>
          <t>P13-07-05</t>
        </is>
      </c>
      <c r="B626" s="39" t="inlineStr">
        <is>
          <t>P13</t>
        </is>
      </c>
      <c r="C626" s="22" t="inlineStr">
        <is>
          <t>安全</t>
        </is>
      </c>
      <c r="D626" s="39" t="n">
        <v>3</v>
      </c>
      <c r="E626" s="40" t="inlineStr">
        <is>
          <t>浴槽の残し湯をやめる（溺水事故の防止）</t>
        </is>
      </c>
      <c r="F626" s="24" t="inlineStr">
        <is>
          <t>習慣が変わっている</t>
        </is>
      </c>
      <c r="G626" s="24" t="inlineStr"/>
      <c r="H626" s="24" t="inlineStr"/>
      <c r="I626" s="24" t="inlineStr"/>
      <c r="J626" s="39" t="n">
        <v>45</v>
      </c>
      <c r="K626" s="41">
        <f>EDATE('はじめに'!$C$5,J626)</f>
        <v/>
      </c>
      <c r="L626" s="39" t="inlineStr">
        <is>
          <t>推奨</t>
        </is>
      </c>
      <c r="M626" s="39" t="inlineStr">
        <is>
          <t>2人</t>
        </is>
      </c>
      <c r="N626" s="39" t="inlineStr">
        <is>
          <t>-</t>
        </is>
      </c>
      <c r="O626" s="24" t="inlineStr"/>
      <c r="P626" s="24" t="inlineStr"/>
      <c r="Q626" s="38" t="inlineStr">
        <is>
          <t>未着手</t>
        </is>
      </c>
      <c r="R626" s="28" t="inlineStr"/>
    </row>
    <row r="627" outlineLevel="1">
      <c r="A627" s="42" t="inlineStr">
        <is>
          <t>P13-07-06</t>
        </is>
      </c>
      <c r="B627" s="42" t="inlineStr">
        <is>
          <t>P13</t>
        </is>
      </c>
      <c r="C627" s="43" t="inlineStr">
        <is>
          <t>安全</t>
        </is>
      </c>
      <c r="D627" s="42" t="n">
        <v>3</v>
      </c>
      <c r="E627" s="44" t="inlineStr">
        <is>
          <t>誤飲・やけど（電気ケトル・炊飯器の蒸気・テーブルクロス）を潰す</t>
        </is>
      </c>
      <c r="F627" s="45" t="inlineStr">
        <is>
          <t>対策済み</t>
        </is>
      </c>
      <c r="G627" s="45" t="inlineStr"/>
      <c r="H627" s="45" t="inlineStr"/>
      <c r="I627" s="45" t="inlineStr"/>
      <c r="J627" s="42" t="n">
        <v>45</v>
      </c>
      <c r="K627" s="46">
        <f>EDATE('はじめに'!$C$5,J627)</f>
        <v/>
      </c>
      <c r="L627" s="42" t="inlineStr">
        <is>
          <t>推奨</t>
        </is>
      </c>
      <c r="M627" s="42" t="inlineStr">
        <is>
          <t>2人</t>
        </is>
      </c>
      <c r="N627" s="42" t="inlineStr">
        <is>
          <t>1時間</t>
        </is>
      </c>
      <c r="O627" s="45" t="inlineStr"/>
      <c r="P627" s="45" t="inlineStr"/>
      <c r="Q627" s="38" t="inlineStr">
        <is>
          <t>未着手</t>
        </is>
      </c>
      <c r="R627" s="28" t="inlineStr"/>
    </row>
    <row r="628">
      <c r="A628" s="33" t="inlineStr">
        <is>
          <t>P13-08</t>
        </is>
      </c>
      <c r="B628" s="33" t="inlineStr">
        <is>
          <t>P13</t>
        </is>
      </c>
      <c r="C628" s="34" t="inlineStr">
        <is>
          <t>育児</t>
        </is>
      </c>
      <c r="D628" s="33" t="n">
        <v>2</v>
      </c>
      <c r="E628" s="35" t="inlineStr">
        <is>
          <t>病児保育・ファミサポ・シッターに登録する</t>
        </is>
      </c>
      <c r="F628" s="36" t="inlineStr">
        <is>
          <t>3つ以上の預け先が「今日から使える」状態になっている</t>
        </is>
      </c>
      <c r="G628" s="36" t="inlineStr">
        <is>
          <t>復職後に子が発熱したとき誰が対応するか</t>
        </is>
      </c>
      <c r="H628" s="36" t="inlineStr">
        <is>
          <t>自治体の病児保育／ファミリーサポートセンター／民間シッター（キッズライン／ポピンズ）／自治体のシッター利用助成／祖父母</t>
        </is>
      </c>
      <c r="I628" s="36" t="inlineStr">
        <is>
          <t>登録に面談が必要で当日申込は不可。復職2ヶ月前までに済ませる。復職後は月1回以上、発熱で呼び出される前提で組む</t>
        </is>
      </c>
      <c r="J628" s="33" t="n">
        <v>45</v>
      </c>
      <c r="K628" s="37">
        <f>EDATE('はじめに'!$C$5,J628)</f>
        <v/>
      </c>
      <c r="L628" s="33" t="inlineStr">
        <is>
          <t>推奨</t>
        </is>
      </c>
      <c r="M628" s="33" t="inlineStr">
        <is>
          <t>2人</t>
        </is>
      </c>
      <c r="N628" s="33" t="inlineStr">
        <is>
          <t>1ヶ月</t>
        </is>
      </c>
      <c r="O628" s="36" t="inlineStr"/>
      <c r="P628" s="36" t="inlineStr">
        <is>
          <t>復職時期の決定</t>
        </is>
      </c>
      <c r="Q628" s="38" t="inlineStr">
        <is>
          <t>未着手</t>
        </is>
      </c>
      <c r="R628" s="28" t="inlineStr"/>
    </row>
    <row r="629" outlineLevel="1">
      <c r="A629" s="42" t="inlineStr">
        <is>
          <t>P13-08-01</t>
        </is>
      </c>
      <c r="B629" s="42" t="inlineStr">
        <is>
          <t>P13</t>
        </is>
      </c>
      <c r="C629" s="43" t="inlineStr">
        <is>
          <t>育児</t>
        </is>
      </c>
      <c r="D629" s="42" t="n">
        <v>3</v>
      </c>
      <c r="E629" s="44" t="inlineStr">
        <is>
          <t>自治体の病児保育に登録する（事前面談・健康診断が必要な場合あり）</t>
        </is>
      </c>
      <c r="F629" s="45" t="inlineStr">
        <is>
          <t>登録済み</t>
        </is>
      </c>
      <c r="G629" s="45" t="inlineStr"/>
      <c r="H629" s="45" t="inlineStr"/>
      <c r="I629" s="45" t="inlineStr"/>
      <c r="J629" s="42" t="n">
        <v>45</v>
      </c>
      <c r="K629" s="46">
        <f>EDATE('はじめに'!$C$5,J629)</f>
        <v/>
      </c>
      <c r="L629" s="42" t="inlineStr">
        <is>
          <t>推奨</t>
        </is>
      </c>
      <c r="M629" s="42" t="inlineStr">
        <is>
          <t>どちらか</t>
        </is>
      </c>
      <c r="N629" s="42" t="inlineStr">
        <is>
          <t>半日</t>
        </is>
      </c>
      <c r="O629" s="45" t="inlineStr"/>
      <c r="P629" s="45" t="inlineStr"/>
      <c r="Q629" s="38" t="inlineStr">
        <is>
          <t>未着手</t>
        </is>
      </c>
      <c r="R629" s="28" t="inlineStr"/>
    </row>
    <row r="630" outlineLevel="1">
      <c r="A630" s="39" t="inlineStr">
        <is>
          <t>P13-08-02</t>
        </is>
      </c>
      <c r="B630" s="39" t="inlineStr">
        <is>
          <t>P13</t>
        </is>
      </c>
      <c r="C630" s="22" t="inlineStr">
        <is>
          <t>育児</t>
        </is>
      </c>
      <c r="D630" s="39" t="n">
        <v>3</v>
      </c>
      <c r="E630" s="40" t="inlineStr">
        <is>
          <t>ファミリーサポートセンターに登録して提供会員と顔合わせする</t>
        </is>
      </c>
      <c r="F630" s="24" t="inlineStr">
        <is>
          <t>登録済み</t>
        </is>
      </c>
      <c r="G630" s="24" t="inlineStr"/>
      <c r="H630" s="24" t="inlineStr"/>
      <c r="I630" s="24" t="inlineStr"/>
      <c r="J630" s="39" t="n">
        <v>45</v>
      </c>
      <c r="K630" s="41">
        <f>EDATE('はじめに'!$C$5,J630)</f>
        <v/>
      </c>
      <c r="L630" s="39" t="inlineStr">
        <is>
          <t>任意</t>
        </is>
      </c>
      <c r="M630" s="39" t="inlineStr">
        <is>
          <t>どちらか</t>
        </is>
      </c>
      <c r="N630" s="39" t="inlineStr">
        <is>
          <t>半日</t>
        </is>
      </c>
      <c r="O630" s="24" t="inlineStr"/>
      <c r="P630" s="24" t="inlineStr"/>
      <c r="Q630" s="38" t="inlineStr">
        <is>
          <t>未着手</t>
        </is>
      </c>
      <c r="R630" s="28" t="inlineStr"/>
    </row>
    <row r="631" outlineLevel="1">
      <c r="A631" s="42" t="inlineStr">
        <is>
          <t>P13-08-03</t>
        </is>
      </c>
      <c r="B631" s="42" t="inlineStr">
        <is>
          <t>P13</t>
        </is>
      </c>
      <c r="C631" s="43" t="inlineStr">
        <is>
          <t>育児</t>
        </is>
      </c>
      <c r="D631" s="42" t="n">
        <v>3</v>
      </c>
      <c r="E631" s="44" t="inlineStr">
        <is>
          <t>民間シッターに登録し、1回試す（自治体の利用助成も確認）</t>
        </is>
      </c>
      <c r="F631" s="45" t="inlineStr">
        <is>
          <t>使える状態</t>
        </is>
      </c>
      <c r="G631" s="45" t="inlineStr"/>
      <c r="H631" s="45" t="inlineStr"/>
      <c r="I631" s="45" t="inlineStr"/>
      <c r="J631" s="42" t="n">
        <v>45</v>
      </c>
      <c r="K631" s="46">
        <f>EDATE('はじめに'!$C$5,J631)</f>
        <v/>
      </c>
      <c r="L631" s="42" t="inlineStr">
        <is>
          <t>任意</t>
        </is>
      </c>
      <c r="M631" s="42" t="inlineStr">
        <is>
          <t>2人</t>
        </is>
      </c>
      <c r="N631" s="42" t="inlineStr">
        <is>
          <t>半日</t>
        </is>
      </c>
      <c r="O631" s="45" t="inlineStr"/>
      <c r="P631" s="45" t="inlineStr"/>
      <c r="Q631" s="38" t="inlineStr">
        <is>
          <t>未着手</t>
        </is>
      </c>
      <c r="R631" s="28" t="inlineStr"/>
    </row>
    <row r="632" outlineLevel="1">
      <c r="A632" s="39" t="inlineStr">
        <is>
          <t>P13-08-04</t>
        </is>
      </c>
      <c r="B632" s="39" t="inlineStr">
        <is>
          <t>P13</t>
        </is>
      </c>
      <c r="C632" s="22" t="inlineStr">
        <is>
          <t>育児</t>
        </is>
      </c>
      <c r="D632" s="39" t="n">
        <v>3</v>
      </c>
      <c r="E632" s="40" t="inlineStr">
        <is>
          <t>発熱時に誰が早退するかのルール（交代制）を決める</t>
        </is>
      </c>
      <c r="F632" s="24" t="inlineStr">
        <is>
          <t>ルールが決まっている</t>
        </is>
      </c>
      <c r="G632" s="24" t="inlineStr"/>
      <c r="H632" s="24" t="inlineStr"/>
      <c r="I632" s="24" t="inlineStr"/>
      <c r="J632" s="39" t="n">
        <v>46</v>
      </c>
      <c r="K632" s="41">
        <f>EDATE('はじめに'!$C$5,J632)</f>
        <v/>
      </c>
      <c r="L632" s="39" t="inlineStr">
        <is>
          <t>推奨</t>
        </is>
      </c>
      <c r="M632" s="39" t="inlineStr">
        <is>
          <t>2人</t>
        </is>
      </c>
      <c r="N632" s="39" t="inlineStr">
        <is>
          <t>30分</t>
        </is>
      </c>
      <c r="O632" s="24" t="inlineStr"/>
      <c r="P632" s="24" t="inlineStr"/>
      <c r="Q632" s="38" t="inlineStr">
        <is>
          <t>未着手</t>
        </is>
      </c>
      <c r="R632" s="28" t="inlineStr"/>
    </row>
    <row r="633">
      <c r="A633" s="33" t="inlineStr">
        <is>
          <t>P13-09</t>
        </is>
      </c>
      <c r="B633" s="33" t="inlineStr">
        <is>
          <t>P13</t>
        </is>
      </c>
      <c r="C633" s="34" t="inlineStr">
        <is>
          <t>保活</t>
        </is>
      </c>
      <c r="D633" s="33" t="n">
        <v>2</v>
      </c>
      <c r="E633" s="35" t="inlineStr">
        <is>
          <t>選考結果を受け取り、次のアクションを決める</t>
        </is>
      </c>
      <c r="F633" s="36" t="inlineStr">
        <is>
          <t>内定 or 不承諾に応じた手続きが動いている</t>
        </is>
      </c>
      <c r="G633" s="36" t="inlineStr"/>
      <c r="H633" s="36" t="inlineStr"/>
      <c r="I633" s="36" t="inlineStr"/>
      <c r="J633" s="33" t="n">
        <v>46</v>
      </c>
      <c r="K633" s="37">
        <f>EDATE('はじめに'!$C$5,J633)</f>
        <v/>
      </c>
      <c r="L633" s="33" t="inlineStr">
        <is>
          <t>法定</t>
        </is>
      </c>
      <c r="M633" s="33" t="inlineStr">
        <is>
          <t>2人</t>
        </is>
      </c>
      <c r="N633" s="33" t="inlineStr">
        <is>
          <t>1週間</t>
        </is>
      </c>
      <c r="O633" s="36" t="inlineStr"/>
      <c r="P633" s="36" t="inlineStr">
        <is>
          <t>認可保育園の申込</t>
        </is>
      </c>
      <c r="Q633" s="38" t="inlineStr">
        <is>
          <t>未着手</t>
        </is>
      </c>
      <c r="R633" s="28" t="inlineStr"/>
    </row>
    <row r="634" outlineLevel="1">
      <c r="A634" s="39" t="inlineStr">
        <is>
          <t>P13-09-01</t>
        </is>
      </c>
      <c r="B634" s="39" t="inlineStr">
        <is>
          <t>P13</t>
        </is>
      </c>
      <c r="C634" s="22" t="inlineStr">
        <is>
          <t>保活</t>
        </is>
      </c>
      <c r="D634" s="39" t="n">
        <v>3</v>
      </c>
      <c r="E634" s="40" t="inlineStr">
        <is>
          <t>内定通知／不承諾（保留）通知を受け取る（不承諾通知は育休延長の必須書類。紛失厳禁）</t>
        </is>
      </c>
      <c r="F634" s="24" t="inlineStr">
        <is>
          <t>通知を保管している</t>
        </is>
      </c>
      <c r="G634" s="24" t="inlineStr"/>
      <c r="H634" s="24" t="inlineStr"/>
      <c r="I634" s="24" t="inlineStr"/>
      <c r="J634" s="39" t="n">
        <v>46</v>
      </c>
      <c r="K634" s="41">
        <f>EDATE('はじめに'!$C$5,J634)</f>
        <v/>
      </c>
      <c r="L634" s="39" t="inlineStr">
        <is>
          <t>法定</t>
        </is>
      </c>
      <c r="M634" s="39" t="inlineStr">
        <is>
          <t>2人</t>
        </is>
      </c>
      <c r="N634" s="39" t="inlineStr">
        <is>
          <t>-</t>
        </is>
      </c>
      <c r="O634" s="24" t="inlineStr"/>
      <c r="P634" s="24" t="inlineStr"/>
      <c r="Q634" s="38" t="inlineStr">
        <is>
          <t>未着手</t>
        </is>
      </c>
      <c r="R634" s="28" t="inlineStr"/>
    </row>
    <row r="635" outlineLevel="1">
      <c r="A635" s="42" t="inlineStr">
        <is>
          <t>P13-09-02</t>
        </is>
      </c>
      <c r="B635" s="42" t="inlineStr">
        <is>
          <t>P13</t>
        </is>
      </c>
      <c r="C635" s="43" t="inlineStr">
        <is>
          <t>保活</t>
        </is>
      </c>
      <c r="D635" s="42" t="n">
        <v>3</v>
      </c>
      <c r="E635" s="44" t="inlineStr">
        <is>
          <t>【内定時】入園説明会に出席し、必要書類（アレルギー・既往歴・健康診断）を提出する</t>
        </is>
      </c>
      <c r="F635" s="45" t="inlineStr">
        <is>
          <t>提出済み</t>
        </is>
      </c>
      <c r="G635" s="45" t="inlineStr"/>
      <c r="H635" s="45" t="inlineStr"/>
      <c r="I635" s="45" t="inlineStr"/>
      <c r="J635" s="42" t="n">
        <v>46</v>
      </c>
      <c r="K635" s="46">
        <f>EDATE('はじめに'!$C$5,J635)</f>
        <v/>
      </c>
      <c r="L635" s="42" t="inlineStr">
        <is>
          <t>推奨</t>
        </is>
      </c>
      <c r="M635" s="42" t="inlineStr">
        <is>
          <t>2人</t>
        </is>
      </c>
      <c r="N635" s="42" t="inlineStr">
        <is>
          <t>半日</t>
        </is>
      </c>
      <c r="O635" s="45" t="inlineStr"/>
      <c r="P635" s="45" t="inlineStr"/>
      <c r="Q635" s="38" t="inlineStr">
        <is>
          <t>未着手</t>
        </is>
      </c>
      <c r="R635" s="28" t="inlineStr"/>
    </row>
    <row r="636" outlineLevel="1">
      <c r="A636" s="39" t="inlineStr">
        <is>
          <t>P13-09-03</t>
        </is>
      </c>
      <c r="B636" s="39" t="inlineStr">
        <is>
          <t>P13</t>
        </is>
      </c>
      <c r="C636" s="22" t="inlineStr">
        <is>
          <t>保活</t>
        </is>
      </c>
      <c r="D636" s="39" t="n">
        <v>3</v>
      </c>
      <c r="E636" s="40" t="inlineStr">
        <is>
          <t>【内定時】入園準備品を作る（大量の名前つけ・お昼寝布団・着替え6セット・コップ袋）</t>
        </is>
      </c>
      <c r="F636" s="24" t="inlineStr">
        <is>
          <t>全部揃って名前も付いている</t>
        </is>
      </c>
      <c r="G636" s="24" t="inlineStr"/>
      <c r="H636" s="24" t="inlineStr"/>
      <c r="I636" s="24" t="inlineStr"/>
      <c r="J636" s="39" t="n">
        <v>47</v>
      </c>
      <c r="K636" s="41">
        <f>EDATE('はじめに'!$C$5,J636)</f>
        <v/>
      </c>
      <c r="L636" s="39" t="inlineStr">
        <is>
          <t>推奨</t>
        </is>
      </c>
      <c r="M636" s="39" t="inlineStr">
        <is>
          <t>2人</t>
        </is>
      </c>
      <c r="N636" s="39" t="inlineStr">
        <is>
          <t>1〜2週間</t>
        </is>
      </c>
      <c r="O636" s="24" t="inlineStr">
        <is>
          <t>2〜5万円</t>
        </is>
      </c>
      <c r="P636" s="24" t="inlineStr"/>
      <c r="Q636" s="38" t="inlineStr">
        <is>
          <t>未着手</t>
        </is>
      </c>
      <c r="R636" s="28" t="inlineStr"/>
    </row>
    <row r="637" outlineLevel="1">
      <c r="A637" s="42" t="inlineStr">
        <is>
          <t>P13-09-04</t>
        </is>
      </c>
      <c r="B637" s="42" t="inlineStr">
        <is>
          <t>P13</t>
        </is>
      </c>
      <c r="C637" s="43" t="inlineStr">
        <is>
          <t>保活</t>
        </is>
      </c>
      <c r="D637" s="42" t="n">
        <v>3</v>
      </c>
      <c r="E637" s="44" t="inlineStr">
        <is>
          <t>【不承諾時】育児休業給付金の延長を申請する（2025年4月から要件が厳格化）</t>
        </is>
      </c>
      <c r="F637" s="45" t="inlineStr">
        <is>
          <t>申請済み</t>
        </is>
      </c>
      <c r="G637" s="45" t="inlineStr"/>
      <c r="H637" s="45" t="inlineStr"/>
      <c r="I637" s="45" t="inlineStr"/>
      <c r="J637" s="42" t="n">
        <v>46</v>
      </c>
      <c r="K637" s="46">
        <f>EDATE('はじめに'!$C$5,J637)</f>
        <v/>
      </c>
      <c r="L637" s="42" t="inlineStr">
        <is>
          <t>法定</t>
        </is>
      </c>
      <c r="M637" s="42" t="inlineStr">
        <is>
          <t>妊娠する側</t>
        </is>
      </c>
      <c r="N637" s="42" t="inlineStr">
        <is>
          <t>半日</t>
        </is>
      </c>
      <c r="O637" s="45" t="inlineStr"/>
      <c r="P637" s="45" t="inlineStr"/>
      <c r="Q637" s="38" t="inlineStr">
        <is>
          <t>未着手</t>
        </is>
      </c>
      <c r="R637" s="28" t="inlineStr"/>
    </row>
    <row r="638" outlineLevel="1">
      <c r="A638" s="39" t="inlineStr">
        <is>
          <t>P13-09-05</t>
        </is>
      </c>
      <c r="B638" s="39" t="inlineStr">
        <is>
          <t>P13</t>
        </is>
      </c>
      <c r="C638" s="22" t="inlineStr">
        <is>
          <t>保活</t>
        </is>
      </c>
      <c r="D638" s="39" t="n">
        <v>3</v>
      </c>
      <c r="E638" s="40" t="inlineStr">
        <is>
          <t>【不承諾時】二次募集・認可外・年度途中入園の可能性を確認する</t>
        </is>
      </c>
      <c r="F638" s="24" t="inlineStr">
        <is>
          <t>次の手が決まっている</t>
        </is>
      </c>
      <c r="G638" s="24" t="inlineStr"/>
      <c r="H638" s="24" t="inlineStr"/>
      <c r="I638" s="24" t="inlineStr"/>
      <c r="J638" s="39" t="n">
        <v>46</v>
      </c>
      <c r="K638" s="41">
        <f>EDATE('はじめに'!$C$5,J638)</f>
        <v/>
      </c>
      <c r="L638" s="39" t="inlineStr">
        <is>
          <t>推奨</t>
        </is>
      </c>
      <c r="M638" s="39" t="inlineStr">
        <is>
          <t>2人</t>
        </is>
      </c>
      <c r="N638" s="39" t="inlineStr">
        <is>
          <t>2時間</t>
        </is>
      </c>
      <c r="O638" s="24" t="inlineStr"/>
      <c r="P638" s="24" t="inlineStr"/>
      <c r="Q638" s="38" t="inlineStr">
        <is>
          <t>未着手</t>
        </is>
      </c>
      <c r="R638" s="28" t="inlineStr"/>
    </row>
    <row r="639">
      <c r="A639" s="33" t="inlineStr">
        <is>
          <t>P13-10</t>
        </is>
      </c>
      <c r="B639" s="33" t="inlineStr">
        <is>
          <t>P13</t>
        </is>
      </c>
      <c r="C639" s="34" t="inlineStr">
        <is>
          <t>関係</t>
        </is>
      </c>
      <c r="D639" s="33" t="n">
        <v>2</v>
      </c>
      <c r="E639" s="35" t="inlineStr">
        <is>
          <t>復職後の生活を分単位で設計し、分担を組み直す</t>
        </is>
      </c>
      <c r="F639" s="36" t="inlineStr">
        <is>
          <t>1日のタイムテーブルが紙になり、2人が合意している</t>
        </is>
      </c>
      <c r="G639" s="36" t="inlineStr">
        <is>
          <t>誰が送り、誰が迎え、発熱時は誰が早退するか</t>
        </is>
      </c>
      <c r="H639" s="36" t="inlineStr">
        <is>
          <t>送りと迎えを分ける／曜日で交代／片方が時短</t>
        </is>
      </c>
      <c r="I639" s="36" t="inlineStr">
        <is>
          <t>復職後の破綻はここの設計不足で起きる。起床〜登園〜勤務〜迎え〜夕食〜入浴〜就寝を分単位で書き、無理があれば外注を入れる</t>
        </is>
      </c>
      <c r="J639" s="33" t="n">
        <v>47</v>
      </c>
      <c r="K639" s="37">
        <f>EDATE('はじめに'!$C$5,J639)</f>
        <v/>
      </c>
      <c r="L639" s="33" t="inlineStr">
        <is>
          <t>推奨</t>
        </is>
      </c>
      <c r="M639" s="33" t="inlineStr">
        <is>
          <t>2人</t>
        </is>
      </c>
      <c r="N639" s="33" t="inlineStr">
        <is>
          <t>3時間</t>
        </is>
      </c>
      <c r="O639" s="36" t="inlineStr"/>
      <c r="P639" s="36" t="inlineStr">
        <is>
          <t>選考結果の受領</t>
        </is>
      </c>
      <c r="Q639" s="38" t="inlineStr">
        <is>
          <t>未着手</t>
        </is>
      </c>
      <c r="R639" s="28" t="inlineStr"/>
    </row>
    <row r="640" outlineLevel="1">
      <c r="A640" s="39" t="inlineStr">
        <is>
          <t>P13-10-01</t>
        </is>
      </c>
      <c r="B640" s="39" t="inlineStr">
        <is>
          <t>P13</t>
        </is>
      </c>
      <c r="C640" s="22" t="inlineStr">
        <is>
          <t>関係</t>
        </is>
      </c>
      <c r="D640" s="39" t="n">
        <v>3</v>
      </c>
      <c r="E640" s="40" t="inlineStr">
        <is>
          <t>平日の1日を分単位で書き出す（起床から就寝まで）</t>
        </is>
      </c>
      <c r="F640" s="24" t="inlineStr">
        <is>
          <t>タイムテーブルができている</t>
        </is>
      </c>
      <c r="G640" s="24" t="inlineStr"/>
      <c r="H640" s="24" t="inlineStr"/>
      <c r="I640" s="24" t="inlineStr"/>
      <c r="J640" s="39" t="n">
        <v>47</v>
      </c>
      <c r="K640" s="41">
        <f>EDATE('はじめに'!$C$5,J640)</f>
        <v/>
      </c>
      <c r="L640" s="39" t="inlineStr">
        <is>
          <t>推奨</t>
        </is>
      </c>
      <c r="M640" s="39" t="inlineStr">
        <is>
          <t>2人</t>
        </is>
      </c>
      <c r="N640" s="39" t="inlineStr">
        <is>
          <t>1時間</t>
        </is>
      </c>
      <c r="O640" s="24" t="inlineStr"/>
      <c r="P640" s="24" t="inlineStr"/>
      <c r="Q640" s="38" t="inlineStr">
        <is>
          <t>未着手</t>
        </is>
      </c>
      <c r="R640" s="28" t="inlineStr"/>
    </row>
    <row r="641" outlineLevel="1">
      <c r="A641" s="42" t="inlineStr">
        <is>
          <t>P13-10-02</t>
        </is>
      </c>
      <c r="B641" s="42" t="inlineStr">
        <is>
          <t>P13</t>
        </is>
      </c>
      <c r="C641" s="43" t="inlineStr">
        <is>
          <t>関係</t>
        </is>
      </c>
      <c r="D641" s="42" t="n">
        <v>3</v>
      </c>
      <c r="E641" s="44" t="inlineStr">
        <is>
          <t>送り・迎え・夕食・入浴・寝かしつけの担当を決める</t>
        </is>
      </c>
      <c r="F641" s="45" t="inlineStr">
        <is>
          <t>担当が決まっている</t>
        </is>
      </c>
      <c r="G641" s="45" t="inlineStr"/>
      <c r="H641" s="45" t="inlineStr"/>
      <c r="I641" s="45" t="inlineStr"/>
      <c r="J641" s="42" t="n">
        <v>47</v>
      </c>
      <c r="K641" s="46">
        <f>EDATE('はじめに'!$C$5,J641)</f>
        <v/>
      </c>
      <c r="L641" s="42" t="inlineStr">
        <is>
          <t>推奨</t>
        </is>
      </c>
      <c r="M641" s="42" t="inlineStr">
        <is>
          <t>2人</t>
        </is>
      </c>
      <c r="N641" s="42" t="inlineStr">
        <is>
          <t>1時間</t>
        </is>
      </c>
      <c r="O641" s="45" t="inlineStr"/>
      <c r="P641" s="45" t="inlineStr"/>
      <c r="Q641" s="38" t="inlineStr">
        <is>
          <t>未着手</t>
        </is>
      </c>
      <c r="R641" s="28" t="inlineStr"/>
    </row>
    <row r="642" outlineLevel="1">
      <c r="A642" s="39" t="inlineStr">
        <is>
          <t>P13-10-03</t>
        </is>
      </c>
      <c r="B642" s="39" t="inlineStr">
        <is>
          <t>P13</t>
        </is>
      </c>
      <c r="C642" s="22" t="inlineStr">
        <is>
          <t>関係</t>
        </is>
      </c>
      <c r="D642" s="39" t="n">
        <v>3</v>
      </c>
      <c r="E642" s="40" t="inlineStr">
        <is>
          <t>回らない時間帯を特定して、外注か時短で埋める</t>
        </is>
      </c>
      <c r="F642" s="24" t="inlineStr">
        <is>
          <t>破綻する時間がない</t>
        </is>
      </c>
      <c r="G642" s="24" t="inlineStr"/>
      <c r="H642" s="24" t="inlineStr"/>
      <c r="I642" s="24" t="inlineStr"/>
      <c r="J642" s="39" t="n">
        <v>47</v>
      </c>
      <c r="K642" s="41">
        <f>EDATE('はじめに'!$C$5,J642)</f>
        <v/>
      </c>
      <c r="L642" s="39" t="inlineStr">
        <is>
          <t>推奨</t>
        </is>
      </c>
      <c r="M642" s="39" t="inlineStr">
        <is>
          <t>2人</t>
        </is>
      </c>
      <c r="N642" s="39" t="inlineStr">
        <is>
          <t>1時間</t>
        </is>
      </c>
      <c r="O642" s="24" t="inlineStr"/>
      <c r="P642" s="24" t="inlineStr"/>
      <c r="Q642" s="38" t="inlineStr">
        <is>
          <t>未着手</t>
        </is>
      </c>
      <c r="R642" s="28" t="inlineStr"/>
    </row>
    <row r="643" outlineLevel="1">
      <c r="A643" s="42" t="inlineStr">
        <is>
          <t>P13-10-04</t>
        </is>
      </c>
      <c r="B643" s="42" t="inlineStr">
        <is>
          <t>P13</t>
        </is>
      </c>
      <c r="C643" s="43" t="inlineStr">
        <is>
          <t>関係</t>
        </is>
      </c>
      <c r="D643" s="42" t="n">
        <v>3</v>
      </c>
      <c r="E643" s="44" t="inlineStr">
        <is>
          <t>家事分担表を復職版に書き換える</t>
        </is>
      </c>
      <c r="F643" s="45" t="inlineStr">
        <is>
          <t>更新済み</t>
        </is>
      </c>
      <c r="G643" s="45" t="inlineStr"/>
      <c r="H643" s="45" t="inlineStr"/>
      <c r="I643" s="45" t="inlineStr"/>
      <c r="J643" s="42" t="n">
        <v>47</v>
      </c>
      <c r="K643" s="46">
        <f>EDATE('はじめに'!$C$5,J643)</f>
        <v/>
      </c>
      <c r="L643" s="42" t="inlineStr">
        <is>
          <t>推奨</t>
        </is>
      </c>
      <c r="M643" s="42" t="inlineStr">
        <is>
          <t>2人</t>
        </is>
      </c>
      <c r="N643" s="42" t="inlineStr">
        <is>
          <t>1時間</t>
        </is>
      </c>
      <c r="O643" s="45" t="inlineStr"/>
      <c r="P643" s="45" t="inlineStr"/>
      <c r="Q643" s="38" t="inlineStr">
        <is>
          <t>未着手</t>
        </is>
      </c>
      <c r="R643" s="28" t="inlineStr"/>
    </row>
    <row r="644">
      <c r="A644" s="33" t="inlineStr">
        <is>
          <t>P13-11</t>
        </is>
      </c>
      <c r="B644" s="33" t="inlineStr">
        <is>
          <t>P13</t>
        </is>
      </c>
      <c r="C644" s="34" t="inlineStr">
        <is>
          <t>仕事</t>
        </is>
      </c>
      <c r="D644" s="33" t="n">
        <v>2</v>
      </c>
      <c r="E644" s="35" t="inlineStr">
        <is>
          <t>慣らし保育と復職</t>
        </is>
      </c>
      <c r="F644" s="36" t="inlineStr">
        <is>
          <t>復職し、生活が回り始めている</t>
        </is>
      </c>
      <c r="G644" s="36" t="inlineStr"/>
      <c r="H644" s="36" t="inlineStr"/>
      <c r="I644" s="36" t="inlineStr"/>
      <c r="J644" s="33" t="n">
        <v>48</v>
      </c>
      <c r="K644" s="37">
        <f>EDATE('はじめに'!$C$5,J644)</f>
        <v/>
      </c>
      <c r="L644" s="33" t="inlineStr">
        <is>
          <t>推奨</t>
        </is>
      </c>
      <c r="M644" s="33" t="inlineStr">
        <is>
          <t>2人</t>
        </is>
      </c>
      <c r="N644" s="33" t="inlineStr">
        <is>
          <t>1ヶ月</t>
        </is>
      </c>
      <c r="O644" s="36" t="inlineStr"/>
      <c r="P644" s="36" t="inlineStr">
        <is>
          <t>入園準備</t>
        </is>
      </c>
      <c r="Q644" s="38" t="inlineStr">
        <is>
          <t>未着手</t>
        </is>
      </c>
      <c r="R644" s="28" t="inlineStr"/>
    </row>
    <row r="645" outlineLevel="1">
      <c r="A645" s="42" t="inlineStr">
        <is>
          <t>P13-11-01</t>
        </is>
      </c>
      <c r="B645" s="42" t="inlineStr">
        <is>
          <t>P13</t>
        </is>
      </c>
      <c r="C645" s="43" t="inlineStr">
        <is>
          <t>仕事</t>
        </is>
      </c>
      <c r="D645" s="42" t="n">
        <v>3</v>
      </c>
      <c r="E645" s="44" t="inlineStr">
        <is>
          <t>慣らし保育のスケジュールを園と確認する（初日2時間から2週間かけて延長）</t>
        </is>
      </c>
      <c r="F645" s="45" t="inlineStr">
        <is>
          <t>スケジュールが分かっている</t>
        </is>
      </c>
      <c r="G645" s="45" t="inlineStr"/>
      <c r="H645" s="45" t="inlineStr"/>
      <c r="I645" s="45" t="inlineStr"/>
      <c r="J645" s="42" t="n">
        <v>48</v>
      </c>
      <c r="K645" s="46">
        <f>EDATE('はじめに'!$C$5,J645)</f>
        <v/>
      </c>
      <c r="L645" s="42" t="inlineStr">
        <is>
          <t>推奨</t>
        </is>
      </c>
      <c r="M645" s="42" t="inlineStr">
        <is>
          <t>2人</t>
        </is>
      </c>
      <c r="N645" s="42" t="inlineStr">
        <is>
          <t>30分</t>
        </is>
      </c>
      <c r="O645" s="45" t="inlineStr"/>
      <c r="P645" s="45" t="inlineStr"/>
      <c r="Q645" s="38" t="inlineStr">
        <is>
          <t>未着手</t>
        </is>
      </c>
      <c r="R645" s="28" t="inlineStr"/>
    </row>
    <row r="646" outlineLevel="1">
      <c r="A646" s="39" t="inlineStr">
        <is>
          <t>P13-11-02</t>
        </is>
      </c>
      <c r="B646" s="39" t="inlineStr">
        <is>
          <t>P13</t>
        </is>
      </c>
      <c r="C646" s="22" t="inlineStr">
        <is>
          <t>仕事</t>
        </is>
      </c>
      <c r="D646" s="39" t="n">
        <v>3</v>
      </c>
      <c r="E646" s="40" t="inlineStr">
        <is>
          <t>慣らし保育の期間に誰が対応するか決める（有給・育休の残りを充てる）</t>
        </is>
      </c>
      <c r="F646" s="24" t="inlineStr">
        <is>
          <t>対応者が決まっている</t>
        </is>
      </c>
      <c r="G646" s="24" t="inlineStr"/>
      <c r="H646" s="24" t="inlineStr"/>
      <c r="I646" s="24" t="inlineStr"/>
      <c r="J646" s="39" t="n">
        <v>47</v>
      </c>
      <c r="K646" s="41">
        <f>EDATE('はじめに'!$C$5,J646)</f>
        <v/>
      </c>
      <c r="L646" s="39" t="inlineStr">
        <is>
          <t>推奨</t>
        </is>
      </c>
      <c r="M646" s="39" t="inlineStr">
        <is>
          <t>2人</t>
        </is>
      </c>
      <c r="N646" s="39" t="inlineStr">
        <is>
          <t>30分</t>
        </is>
      </c>
      <c r="O646" s="24" t="inlineStr"/>
      <c r="P646" s="24" t="inlineStr"/>
      <c r="Q646" s="38" t="inlineStr">
        <is>
          <t>未着手</t>
        </is>
      </c>
      <c r="R646" s="28" t="inlineStr"/>
    </row>
    <row r="647" outlineLevel="1">
      <c r="A647" s="42" t="inlineStr">
        <is>
          <t>P13-11-03</t>
        </is>
      </c>
      <c r="B647" s="42" t="inlineStr">
        <is>
          <t>P13</t>
        </is>
      </c>
      <c r="C647" s="43" t="inlineStr">
        <is>
          <t>仕事</t>
        </is>
      </c>
      <c r="D647" s="42" t="n">
        <v>3</v>
      </c>
      <c r="E647" s="44" t="inlineStr">
        <is>
          <t>慣らし保育を実施する（最初の1ヶ月は半分休む前提）</t>
        </is>
      </c>
      <c r="F647" s="45" t="inlineStr">
        <is>
          <t>通えるようになっている</t>
        </is>
      </c>
      <c r="G647" s="45" t="inlineStr"/>
      <c r="H647" s="45" t="inlineStr"/>
      <c r="I647" s="45" t="inlineStr"/>
      <c r="J647" s="42" t="n">
        <v>48</v>
      </c>
      <c r="K647" s="46">
        <f>EDATE('はじめに'!$C$5,J647)</f>
        <v/>
      </c>
      <c r="L647" s="42" t="inlineStr">
        <is>
          <t>推奨</t>
        </is>
      </c>
      <c r="M647" s="42" t="inlineStr">
        <is>
          <t>2人</t>
        </is>
      </c>
      <c r="N647" s="42" t="inlineStr">
        <is>
          <t>1ヶ月</t>
        </is>
      </c>
      <c r="O647" s="45" t="inlineStr"/>
      <c r="P647" s="45" t="inlineStr"/>
      <c r="Q647" s="38" t="inlineStr">
        <is>
          <t>未着手</t>
        </is>
      </c>
      <c r="R647" s="28" t="inlineStr"/>
    </row>
    <row r="648" outlineLevel="1">
      <c r="A648" s="39" t="inlineStr">
        <is>
          <t>P13-11-04</t>
        </is>
      </c>
      <c r="B648" s="39" t="inlineStr">
        <is>
          <t>P13</t>
        </is>
      </c>
      <c r="C648" s="22" t="inlineStr">
        <is>
          <t>仕事</t>
        </is>
      </c>
      <c r="D648" s="39" t="n">
        <v>3</v>
      </c>
      <c r="E648" s="40" t="inlineStr">
        <is>
          <t>復職する</t>
        </is>
      </c>
      <c r="F648" s="24" t="inlineStr">
        <is>
          <t>復職済み</t>
        </is>
      </c>
      <c r="G648" s="24" t="inlineStr"/>
      <c r="H648" s="24" t="inlineStr"/>
      <c r="I648" s="24" t="inlineStr"/>
      <c r="J648" s="39" t="n">
        <v>48</v>
      </c>
      <c r="K648" s="41">
        <f>EDATE('はじめに'!$C$5,J648)</f>
        <v/>
      </c>
      <c r="L648" s="39" t="inlineStr">
        <is>
          <t>推奨</t>
        </is>
      </c>
      <c r="M648" s="39" t="inlineStr">
        <is>
          <t>妊娠する側</t>
        </is>
      </c>
      <c r="N648" s="39" t="inlineStr">
        <is>
          <t>-</t>
        </is>
      </c>
      <c r="O648" s="24" t="inlineStr"/>
      <c r="P648" s="24" t="inlineStr"/>
      <c r="Q648" s="38" t="inlineStr">
        <is>
          <t>未着手</t>
        </is>
      </c>
      <c r="R648" s="28" t="inlineStr"/>
    </row>
    <row r="649" outlineLevel="1">
      <c r="A649" s="42" t="inlineStr">
        <is>
          <t>P13-11-05</t>
        </is>
      </c>
      <c r="B649" s="42" t="inlineStr">
        <is>
          <t>P13</t>
        </is>
      </c>
      <c r="C649" s="43" t="inlineStr">
        <is>
          <t>仕事</t>
        </is>
      </c>
      <c r="D649" s="42" t="n">
        <v>3</v>
      </c>
      <c r="E649" s="44" t="inlineStr">
        <is>
          <t>時短勤務を申請する（育児時短就業給付＝賃金の10%も確認）</t>
        </is>
      </c>
      <c r="F649" s="45" t="inlineStr">
        <is>
          <t>適用されている</t>
        </is>
      </c>
      <c r="G649" s="45" t="inlineStr"/>
      <c r="H649" s="45" t="inlineStr"/>
      <c r="I649" s="45" t="inlineStr"/>
      <c r="J649" s="42" t="n">
        <v>48</v>
      </c>
      <c r="K649" s="46">
        <f>EDATE('はじめに'!$C$5,J649)</f>
        <v/>
      </c>
      <c r="L649" s="42" t="inlineStr">
        <is>
          <t>任意</t>
        </is>
      </c>
      <c r="M649" s="42" t="inlineStr">
        <is>
          <t>妊娠する側</t>
        </is>
      </c>
      <c r="N649" s="42" t="inlineStr">
        <is>
          <t>1時間</t>
        </is>
      </c>
      <c r="O649" s="45" t="inlineStr"/>
      <c r="P649" s="45" t="inlineStr"/>
      <c r="Q649" s="38" t="inlineStr">
        <is>
          <t>未着手</t>
        </is>
      </c>
      <c r="R649" s="28" t="inlineStr"/>
    </row>
    <row r="650" outlineLevel="1">
      <c r="A650" s="39" t="inlineStr">
        <is>
          <t>P13-11-06</t>
        </is>
      </c>
      <c r="B650" s="39" t="inlineStr">
        <is>
          <t>P13</t>
        </is>
      </c>
      <c r="C650" s="22" t="inlineStr">
        <is>
          <t>仕事</t>
        </is>
      </c>
      <c r="D650" s="39" t="n">
        <v>3</v>
      </c>
      <c r="E650" s="40" t="inlineStr">
        <is>
          <t>養育期間標準報酬月額特例を申し出る（時短で給料が下がっても年金額を下げない制度）</t>
        </is>
      </c>
      <c r="F650" s="24" t="inlineStr">
        <is>
          <t>申出済み</t>
        </is>
      </c>
      <c r="G650" s="24" t="inlineStr"/>
      <c r="H650" s="24" t="inlineStr"/>
      <c r="I650" s="24" t="inlineStr"/>
      <c r="J650" s="39" t="n">
        <v>48</v>
      </c>
      <c r="K650" s="41">
        <f>EDATE('はじめに'!$C$5,J650)</f>
        <v/>
      </c>
      <c r="L650" s="39" t="inlineStr">
        <is>
          <t>推奨</t>
        </is>
      </c>
      <c r="M650" s="39" t="inlineStr">
        <is>
          <t>妊娠する側</t>
        </is>
      </c>
      <c r="N650" s="39" t="inlineStr">
        <is>
          <t>30分</t>
        </is>
      </c>
      <c r="O650" s="24" t="inlineStr"/>
      <c r="P650" s="24" t="inlineStr"/>
      <c r="Q650" s="38" t="inlineStr">
        <is>
          <t>未着手</t>
        </is>
      </c>
      <c r="R650" s="28" t="inlineStr"/>
    </row>
    <row r="651" outlineLevel="1">
      <c r="A651" s="42" t="inlineStr">
        <is>
          <t>P13-11-07</t>
        </is>
      </c>
      <c r="B651" s="42" t="inlineStr">
        <is>
          <t>P13</t>
        </is>
      </c>
      <c r="C651" s="43" t="inlineStr">
        <is>
          <t>仕事</t>
        </is>
      </c>
      <c r="D651" s="42" t="n">
        <v>3</v>
      </c>
      <c r="E651" s="44" t="inlineStr">
        <is>
          <t>育休終了時報酬月額変更届が出ているか確認する</t>
        </is>
      </c>
      <c r="F651" s="45" t="inlineStr">
        <is>
          <t>手続き済み</t>
        </is>
      </c>
      <c r="G651" s="45" t="inlineStr"/>
      <c r="H651" s="45" t="inlineStr"/>
      <c r="I651" s="45" t="inlineStr"/>
      <c r="J651" s="42" t="n">
        <v>48</v>
      </c>
      <c r="K651" s="46">
        <f>EDATE('はじめに'!$C$5,J651)</f>
        <v/>
      </c>
      <c r="L651" s="42" t="inlineStr">
        <is>
          <t>推奨</t>
        </is>
      </c>
      <c r="M651" s="42" t="inlineStr">
        <is>
          <t>2人</t>
        </is>
      </c>
      <c r="N651" s="42" t="inlineStr">
        <is>
          <t>15分</t>
        </is>
      </c>
      <c r="O651" s="45" t="inlineStr"/>
      <c r="P651" s="45" t="inlineStr"/>
      <c r="Q651" s="38" t="inlineStr">
        <is>
          <t>未着手</t>
        </is>
      </c>
      <c r="R651" s="28" t="inlineStr"/>
    </row>
    <row r="652">
      <c r="A652" s="33" t="inlineStr">
        <is>
          <t>P13-12</t>
        </is>
      </c>
      <c r="B652" s="33" t="inlineStr">
        <is>
          <t>P13</t>
        </is>
      </c>
      <c r="C652" s="34" t="inlineStr">
        <is>
          <t>お金</t>
        </is>
      </c>
      <c r="D652" s="33" t="n">
        <v>2</v>
      </c>
      <c r="E652" s="35" t="inlineStr">
        <is>
          <t>教育資金の置き場所を決める</t>
        </is>
      </c>
      <c r="F652" s="36" t="inlineStr">
        <is>
          <t>毎月の積立先と金額が決まり、自動化されている</t>
        </is>
      </c>
      <c r="G652" s="36" t="inlineStr">
        <is>
          <t>どこに積むか</t>
        </is>
      </c>
      <c r="H652" s="36" t="inlineStr">
        <is>
          <t>新NISA（親名義・つみたて投資枠）／学資保険／定期預金／児童手当を全額別口座に貯める</t>
        </is>
      </c>
      <c r="I652" s="36" t="inlineStr">
        <is>
          <t>児童手当を0〜18歳まで全額貯めると約230万円。学資保険は元本保証だが利回りが低い。リスク許容度と使う時期で決める</t>
        </is>
      </c>
      <c r="J652" s="33" t="n">
        <v>48</v>
      </c>
      <c r="K652" s="37">
        <f>EDATE('はじめに'!$C$5,J652)</f>
        <v/>
      </c>
      <c r="L652" s="33" t="inlineStr">
        <is>
          <t>推奨</t>
        </is>
      </c>
      <c r="M652" s="33" t="inlineStr">
        <is>
          <t>2人</t>
        </is>
      </c>
      <c r="N652" s="33" t="inlineStr">
        <is>
          <t>2時間</t>
        </is>
      </c>
      <c r="O652" s="36" t="inlineStr"/>
      <c r="P652" s="36" t="inlineStr"/>
      <c r="Q652" s="38" t="inlineStr">
        <is>
          <t>未着手</t>
        </is>
      </c>
      <c r="R652" s="28" t="inlineStr"/>
    </row>
    <row r="653" outlineLevel="1">
      <c r="A653" s="42" t="inlineStr">
        <is>
          <t>P13-12-01</t>
        </is>
      </c>
      <c r="B653" s="42" t="inlineStr">
        <is>
          <t>P13</t>
        </is>
      </c>
      <c r="C653" s="43" t="inlineStr">
        <is>
          <t>お金</t>
        </is>
      </c>
      <c r="D653" s="42" t="n">
        <v>3</v>
      </c>
      <c r="E653" s="44" t="inlineStr">
        <is>
          <t>18歳時点で必要な額を試算する</t>
        </is>
      </c>
      <c r="F653" s="45" t="inlineStr">
        <is>
          <t>目標額が出ている</t>
        </is>
      </c>
      <c r="G653" s="45" t="inlineStr"/>
      <c r="H653" s="45" t="inlineStr"/>
      <c r="I653" s="45" t="inlineStr"/>
      <c r="J653" s="42" t="n">
        <v>48</v>
      </c>
      <c r="K653" s="46">
        <f>EDATE('はじめに'!$C$5,J653)</f>
        <v/>
      </c>
      <c r="L653" s="42" t="inlineStr">
        <is>
          <t>推奨</t>
        </is>
      </c>
      <c r="M653" s="42" t="inlineStr">
        <is>
          <t>2人</t>
        </is>
      </c>
      <c r="N653" s="42" t="inlineStr">
        <is>
          <t>1時間</t>
        </is>
      </c>
      <c r="O653" s="45" t="inlineStr"/>
      <c r="P653" s="45" t="inlineStr"/>
      <c r="Q653" s="38" t="inlineStr">
        <is>
          <t>未着手</t>
        </is>
      </c>
      <c r="R653" s="28" t="inlineStr"/>
    </row>
    <row r="654" outlineLevel="1">
      <c r="A654" s="39" t="inlineStr">
        <is>
          <t>P13-12-02</t>
        </is>
      </c>
      <c r="B654" s="39" t="inlineStr">
        <is>
          <t>P13</t>
        </is>
      </c>
      <c r="C654" s="22" t="inlineStr">
        <is>
          <t>お金</t>
        </is>
      </c>
      <c r="D654" s="39" t="n">
        <v>3</v>
      </c>
      <c r="E654" s="40" t="inlineStr">
        <is>
          <t>積立先を決めて自動積立を設定する</t>
        </is>
      </c>
      <c r="F654" s="24" t="inlineStr">
        <is>
          <t>自動化されている</t>
        </is>
      </c>
      <c r="G654" s="24" t="inlineStr"/>
      <c r="H654" s="24" t="inlineStr"/>
      <c r="I654" s="24" t="inlineStr"/>
      <c r="J654" s="39" t="n">
        <v>48</v>
      </c>
      <c r="K654" s="41">
        <f>EDATE('はじめに'!$C$5,J654)</f>
        <v/>
      </c>
      <c r="L654" s="39" t="inlineStr">
        <is>
          <t>推奨</t>
        </is>
      </c>
      <c r="M654" s="39" t="inlineStr">
        <is>
          <t>2人</t>
        </is>
      </c>
      <c r="N654" s="39" t="inlineStr">
        <is>
          <t>1時間</t>
        </is>
      </c>
      <c r="O654" s="24" t="inlineStr"/>
      <c r="P654" s="24" t="inlineStr"/>
      <c r="Q654" s="38" t="inlineStr">
        <is>
          <t>未着手</t>
        </is>
      </c>
      <c r="R654" s="28" t="inlineStr"/>
    </row>
    <row r="655" outlineLevel="1">
      <c r="A655" s="42" t="inlineStr">
        <is>
          <t>P13-12-03</t>
        </is>
      </c>
      <c r="B655" s="42" t="inlineStr">
        <is>
          <t>P13</t>
        </is>
      </c>
      <c r="C655" s="43" t="inlineStr">
        <is>
          <t>お金</t>
        </is>
      </c>
      <c r="D655" s="42" t="n">
        <v>3</v>
      </c>
      <c r="E655" s="44" t="inlineStr">
        <is>
          <t>年末調整で「16歳未満の扶養親族」欄に記入する（住民税の非課税判定に影響）</t>
        </is>
      </c>
      <c r="F655" s="45" t="inlineStr">
        <is>
          <t>記入済み</t>
        </is>
      </c>
      <c r="G655" s="45" t="inlineStr"/>
      <c r="H655" s="45" t="inlineStr"/>
      <c r="I655" s="45" t="inlineStr"/>
      <c r="J655" s="42" t="n">
        <v>46</v>
      </c>
      <c r="K655" s="46">
        <f>EDATE('はじめに'!$C$5,J655)</f>
        <v/>
      </c>
      <c r="L655" s="42" t="inlineStr">
        <is>
          <t>推奨</t>
        </is>
      </c>
      <c r="M655" s="42" t="inlineStr">
        <is>
          <t>2人</t>
        </is>
      </c>
      <c r="N655" s="42" t="inlineStr">
        <is>
          <t>15分</t>
        </is>
      </c>
      <c r="O655" s="45" t="inlineStr"/>
      <c r="P655" s="45" t="inlineStr"/>
      <c r="Q655" s="38" t="inlineStr">
        <is>
          <t>未着手</t>
        </is>
      </c>
      <c r="R655" s="28" t="inlineStr"/>
    </row>
    <row r="656" outlineLevel="1">
      <c r="A656" s="39" t="inlineStr">
        <is>
          <t>P13-12-04</t>
        </is>
      </c>
      <c r="B656" s="39" t="inlineStr">
        <is>
          <t>P13</t>
        </is>
      </c>
      <c r="C656" s="22" t="inlineStr">
        <is>
          <t>お金</t>
        </is>
      </c>
      <c r="D656" s="39" t="n">
        <v>3</v>
      </c>
      <c r="E656" s="40" t="inlineStr">
        <is>
          <t>出産年の医療費控除を確定申告する（5年遡及可）</t>
        </is>
      </c>
      <c r="F656" s="24" t="inlineStr">
        <is>
          <t>申告済み</t>
        </is>
      </c>
      <c r="G656" s="24" t="inlineStr"/>
      <c r="H656" s="24" t="inlineStr"/>
      <c r="I656" s="24" t="inlineStr"/>
      <c r="J656" s="39" t="n">
        <v>40</v>
      </c>
      <c r="K656" s="41">
        <f>EDATE('はじめに'!$C$5,J656)</f>
        <v/>
      </c>
      <c r="L656" s="39" t="inlineStr">
        <is>
          <t>推奨</t>
        </is>
      </c>
      <c r="M656" s="39" t="inlineStr">
        <is>
          <t>どちらか</t>
        </is>
      </c>
      <c r="N656" s="39" t="inlineStr">
        <is>
          <t>半日</t>
        </is>
      </c>
      <c r="O656" s="24" t="inlineStr"/>
      <c r="P656" s="24" t="inlineStr"/>
      <c r="Q656" s="38" t="inlineStr">
        <is>
          <t>未着手</t>
        </is>
      </c>
      <c r="R656" s="28" t="inlineStr"/>
    </row>
    <row r="657" outlineLevel="1">
      <c r="A657" s="42" t="inlineStr">
        <is>
          <t>P13-12-05</t>
        </is>
      </c>
      <c r="B657" s="42" t="inlineStr">
        <is>
          <t>P13</t>
        </is>
      </c>
      <c r="C657" s="43" t="inlineStr">
        <is>
          <t>お金</t>
        </is>
      </c>
      <c r="D657" s="42" t="n">
        <v>3</v>
      </c>
      <c r="E657" s="44" t="inlineStr">
        <is>
          <t>1年間の育児費用の実績を集計し、2年目の予算を組む</t>
        </is>
      </c>
      <c r="F657" s="45" t="inlineStr">
        <is>
          <t>予算ができている</t>
        </is>
      </c>
      <c r="G657" s="45" t="inlineStr"/>
      <c r="H657" s="45" t="inlineStr"/>
      <c r="I657" s="45" t="inlineStr"/>
      <c r="J657" s="42" t="n">
        <v>48</v>
      </c>
      <c r="K657" s="46">
        <f>EDATE('はじめに'!$C$5,J657)</f>
        <v/>
      </c>
      <c r="L657" s="42" t="inlineStr">
        <is>
          <t>推奨</t>
        </is>
      </c>
      <c r="M657" s="42" t="inlineStr">
        <is>
          <t>2人</t>
        </is>
      </c>
      <c r="N657" s="42" t="inlineStr">
        <is>
          <t>2時間</t>
        </is>
      </c>
      <c r="O657" s="45" t="inlineStr"/>
      <c r="P657" s="45" t="inlineStr"/>
      <c r="Q657" s="38" t="inlineStr">
        <is>
          <t>未着手</t>
        </is>
      </c>
      <c r="R657" s="28" t="inlineStr"/>
    </row>
    <row r="658">
      <c r="A658" s="33" t="inlineStr">
        <is>
          <t>P13-13</t>
        </is>
      </c>
      <c r="B658" s="33" t="inlineStr">
        <is>
          <t>P13</t>
        </is>
      </c>
      <c r="C658" s="34" t="inlineStr">
        <is>
          <t>記録</t>
        </is>
      </c>
      <c r="D658" s="33" t="n">
        <v>2</v>
      </c>
      <c r="E658" s="35" t="inlineStr">
        <is>
          <t>1歳の誕生日と1年の記録</t>
        </is>
      </c>
      <c r="F658" s="36" t="inlineStr">
        <is>
          <t>誕生日を祝い、写真の整理が終わっている</t>
        </is>
      </c>
      <c r="G658" s="36" t="inlineStr"/>
      <c r="H658" s="36" t="inlineStr"/>
      <c r="I658" s="36" t="inlineStr"/>
      <c r="J658" s="33" t="n">
        <v>48</v>
      </c>
      <c r="K658" s="37">
        <f>EDATE('はじめに'!$C$5,J658)</f>
        <v/>
      </c>
      <c r="L658" s="33" t="inlineStr">
        <is>
          <t>任意</t>
        </is>
      </c>
      <c r="M658" s="33" t="inlineStr">
        <is>
          <t>2人</t>
        </is>
      </c>
      <c r="N658" s="33" t="inlineStr">
        <is>
          <t>1週間</t>
        </is>
      </c>
      <c r="O658" s="36" t="inlineStr">
        <is>
          <t>1〜5万円</t>
        </is>
      </c>
      <c r="P658" s="36" t="inlineStr"/>
      <c r="Q658" s="38" t="inlineStr">
        <is>
          <t>未着手</t>
        </is>
      </c>
      <c r="R658" s="28" t="inlineStr"/>
    </row>
    <row r="659" outlineLevel="1">
      <c r="A659" s="42" t="inlineStr">
        <is>
          <t>P13-13-01</t>
        </is>
      </c>
      <c r="B659" s="42" t="inlineStr">
        <is>
          <t>P13</t>
        </is>
      </c>
      <c r="C659" s="43" t="inlineStr">
        <is>
          <t>記録</t>
        </is>
      </c>
      <c r="D659" s="42" t="n">
        <v>3</v>
      </c>
      <c r="E659" s="44" t="inlineStr">
        <is>
          <t>1歳の誕生日（一升餅・選び取り・ケーキ）</t>
        </is>
      </c>
      <c r="F659" s="45" t="inlineStr">
        <is>
          <t>実施済み</t>
        </is>
      </c>
      <c r="G659" s="45" t="inlineStr"/>
      <c r="H659" s="45" t="inlineStr"/>
      <c r="I659" s="45" t="inlineStr"/>
      <c r="J659" s="42" t="n">
        <v>48</v>
      </c>
      <c r="K659" s="46">
        <f>EDATE('はじめに'!$C$5,J659)</f>
        <v/>
      </c>
      <c r="L659" s="42" t="inlineStr">
        <is>
          <t>任意</t>
        </is>
      </c>
      <c r="M659" s="42" t="inlineStr">
        <is>
          <t>2人</t>
        </is>
      </c>
      <c r="N659" s="42" t="inlineStr">
        <is>
          <t>半日</t>
        </is>
      </c>
      <c r="O659" s="45" t="inlineStr"/>
      <c r="P659" s="45" t="inlineStr"/>
      <c r="Q659" s="38" t="inlineStr">
        <is>
          <t>未着手</t>
        </is>
      </c>
      <c r="R659" s="28" t="inlineStr"/>
    </row>
    <row r="660" outlineLevel="1">
      <c r="A660" s="39" t="inlineStr">
        <is>
          <t>P13-13-02</t>
        </is>
      </c>
      <c r="B660" s="39" t="inlineStr">
        <is>
          <t>P13</t>
        </is>
      </c>
      <c r="C660" s="22" t="inlineStr">
        <is>
          <t>記録</t>
        </is>
      </c>
      <c r="D660" s="39" t="n">
        <v>3</v>
      </c>
      <c r="E660" s="40" t="inlineStr">
        <is>
          <t>1年分の写真・動画を整理してフォトブックを作る</t>
        </is>
      </c>
      <c r="F660" s="24" t="inlineStr">
        <is>
          <t>できている</t>
        </is>
      </c>
      <c r="G660" s="24" t="inlineStr"/>
      <c r="H660" s="24" t="inlineStr"/>
      <c r="I660" s="24" t="inlineStr"/>
      <c r="J660" s="39" t="n">
        <v>48</v>
      </c>
      <c r="K660" s="41">
        <f>EDATE('はじめに'!$C$5,J660)</f>
        <v/>
      </c>
      <c r="L660" s="39" t="inlineStr">
        <is>
          <t>任意</t>
        </is>
      </c>
      <c r="M660" s="39" t="inlineStr">
        <is>
          <t>2人</t>
        </is>
      </c>
      <c r="N660" s="39" t="inlineStr">
        <is>
          <t>半日</t>
        </is>
      </c>
      <c r="O660" s="24" t="inlineStr"/>
      <c r="P660" s="24" t="inlineStr"/>
      <c r="Q660" s="38" t="inlineStr">
        <is>
          <t>未着手</t>
        </is>
      </c>
      <c r="R660" s="28" t="inlineStr"/>
    </row>
    <row r="661">
      <c r="A661" s="33" t="inlineStr">
        <is>
          <t>P13-14</t>
        </is>
      </c>
      <c r="B661" s="33" t="inlineStr">
        <is>
          <t>P13</t>
        </is>
      </c>
      <c r="C661" s="34" t="inlineStr">
        <is>
          <t>関係</t>
        </is>
      </c>
      <c r="D661" s="33" t="n">
        <v>2</v>
      </c>
      <c r="E661" s="35" t="inlineStr">
        <is>
          <t>1年の振り返りと次の話</t>
        </is>
      </c>
      <c r="F661" s="36" t="inlineStr">
        <is>
          <t>振り返りが終わり、次の方針が決まっている</t>
        </is>
      </c>
      <c r="G661" s="36" t="inlineStr"/>
      <c r="H661" s="36" t="inlineStr"/>
      <c r="I661" s="36" t="inlineStr"/>
      <c r="J661" s="33" t="n">
        <v>48</v>
      </c>
      <c r="K661" s="37">
        <f>EDATE('はじめに'!$C$5,J661)</f>
        <v/>
      </c>
      <c r="L661" s="33" t="inlineStr">
        <is>
          <t>任意</t>
        </is>
      </c>
      <c r="M661" s="33" t="inlineStr">
        <is>
          <t>2人</t>
        </is>
      </c>
      <c r="N661" s="33" t="inlineStr">
        <is>
          <t>2時間</t>
        </is>
      </c>
      <c r="O661" s="36" t="inlineStr"/>
      <c r="P661" s="36" t="inlineStr">
        <is>
          <t>復職</t>
        </is>
      </c>
      <c r="Q661" s="38" t="inlineStr">
        <is>
          <t>未着手</t>
        </is>
      </c>
      <c r="R661" s="28" t="inlineStr"/>
    </row>
    <row r="662" outlineLevel="1">
      <c r="A662" s="39" t="inlineStr">
        <is>
          <t>P13-14-01</t>
        </is>
      </c>
      <c r="B662" s="39" t="inlineStr">
        <is>
          <t>P13</t>
        </is>
      </c>
      <c r="C662" s="22" t="inlineStr">
        <is>
          <t>関係</t>
        </is>
      </c>
      <c r="D662" s="39" t="n">
        <v>3</v>
      </c>
      <c r="E662" s="40" t="inlineStr">
        <is>
          <t>うまくいった分担と、限界だった点を言語化する</t>
        </is>
      </c>
      <c r="F662" s="24" t="inlineStr">
        <is>
          <t>振り返りができている</t>
        </is>
      </c>
      <c r="G662" s="24" t="inlineStr"/>
      <c r="H662" s="24" t="inlineStr"/>
      <c r="I662" s="24" t="inlineStr"/>
      <c r="J662" s="39" t="n">
        <v>48</v>
      </c>
      <c r="K662" s="41">
        <f>EDATE('はじめに'!$C$5,J662)</f>
        <v/>
      </c>
      <c r="L662" s="39" t="inlineStr">
        <is>
          <t>任意</t>
        </is>
      </c>
      <c r="M662" s="39" t="inlineStr">
        <is>
          <t>2人</t>
        </is>
      </c>
      <c r="N662" s="39" t="inlineStr">
        <is>
          <t>1時間</t>
        </is>
      </c>
      <c r="O662" s="24" t="inlineStr"/>
      <c r="P662" s="24" t="inlineStr"/>
      <c r="Q662" s="38" t="inlineStr">
        <is>
          <t>未着手</t>
        </is>
      </c>
      <c r="R662" s="28" t="inlineStr"/>
    </row>
    <row r="663" outlineLevel="1">
      <c r="A663" s="42" t="inlineStr">
        <is>
          <t>P13-14-02</t>
        </is>
      </c>
      <c r="B663" s="42" t="inlineStr">
        <is>
          <t>P13</t>
        </is>
      </c>
      <c r="C663" s="43" t="inlineStr">
        <is>
          <t>関係</t>
        </is>
      </c>
      <c r="D663" s="42" t="n">
        <v>3</v>
      </c>
      <c r="E663" s="44" t="inlineStr">
        <is>
          <t>2人目の希望・タイミングについて話す</t>
        </is>
      </c>
      <c r="F663" s="45" t="inlineStr">
        <is>
          <t>方向性が共有されている</t>
        </is>
      </c>
      <c r="G663" s="45" t="inlineStr"/>
      <c r="H663" s="45" t="inlineStr"/>
      <c r="I663" s="45" t="inlineStr"/>
      <c r="J663" s="42" t="n">
        <v>48</v>
      </c>
      <c r="K663" s="46">
        <f>EDATE('はじめに'!$C$5,J663)</f>
        <v/>
      </c>
      <c r="L663" s="42" t="inlineStr">
        <is>
          <t>任意</t>
        </is>
      </c>
      <c r="M663" s="42" t="inlineStr">
        <is>
          <t>2人</t>
        </is>
      </c>
      <c r="N663" s="42" t="inlineStr">
        <is>
          <t>1時間</t>
        </is>
      </c>
      <c r="O663" s="45" t="inlineStr"/>
      <c r="P663" s="45" t="inlineStr"/>
      <c r="Q663" s="38" t="inlineStr">
        <is>
          <t>未着手</t>
        </is>
      </c>
      <c r="R663" s="28" t="inlineStr"/>
    </row>
    <row r="664" outlineLevel="1">
      <c r="A664" s="39" t="inlineStr">
        <is>
          <t>P13-14-03</t>
        </is>
      </c>
      <c r="B664" s="39" t="inlineStr">
        <is>
          <t>P13</t>
        </is>
      </c>
      <c r="C664" s="22" t="inlineStr">
        <is>
          <t>関係</t>
        </is>
      </c>
      <c r="D664" s="39" t="n">
        <v>3</v>
      </c>
      <c r="E664" s="40" t="inlineStr">
        <is>
          <t>キャリアの制約を交代する必要があるか話す</t>
        </is>
      </c>
      <c r="F664" s="24" t="inlineStr">
        <is>
          <t>方針が決まっている</t>
        </is>
      </c>
      <c r="G664" s="24" t="inlineStr"/>
      <c r="H664" s="24" t="inlineStr"/>
      <c r="I664" s="24" t="inlineStr"/>
      <c r="J664" s="39" t="n">
        <v>48</v>
      </c>
      <c r="K664" s="41">
        <f>EDATE('はじめに'!$C$5,J664)</f>
        <v/>
      </c>
      <c r="L664" s="39" t="inlineStr">
        <is>
          <t>任意</t>
        </is>
      </c>
      <c r="M664" s="39" t="inlineStr">
        <is>
          <t>2人</t>
        </is>
      </c>
      <c r="N664" s="39" t="inlineStr">
        <is>
          <t>1時間</t>
        </is>
      </c>
      <c r="O664" s="24" t="inlineStr"/>
      <c r="P664" s="24" t="inlineStr"/>
      <c r="Q664" s="38" t="inlineStr">
        <is>
          <t>未着手</t>
        </is>
      </c>
      <c r="R664" s="28" t="inlineStr"/>
    </row>
  </sheetData>
  <autoFilter ref="A2:R664"/>
  <conditionalFormatting sqref="Q3:Q664">
    <cfRule type="cellIs" priority="1" operator="equal" dxfId="2">
      <formula>"完了"</formula>
    </cfRule>
    <cfRule type="cellIs" priority="2" operator="equal" dxfId="3">
      <formula>"進行中"</formula>
    </cfRule>
    <cfRule type="cellIs" priority="3" operator="equal" dxfId="4">
      <formula>"対象外"</formula>
    </cfRule>
  </conditionalFormatting>
  <conditionalFormatting sqref="L3:L664">
    <cfRule type="cellIs" priority="4" operator="equal" dxfId="5">
      <formula>"法定"</formula>
    </cfRule>
  </conditionalFormatting>
  <dataValidations count="1">
    <dataValidation sqref="Q3:Q664" showDropDown="0" showInputMessage="0" showErrorMessage="0" allowBlank="1" type="list">
      <formula1>"未着手,進行中,完了,対象外"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3"/>
  <sheetViews>
    <sheetView zoomScale="85"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12" customWidth="1" min="3" max="3"/>
    <col width="32" customWidth="1" min="4" max="4"/>
    <col width="24" customWidth="1" min="5" max="5"/>
    <col width="26" customWidth="1" min="6" max="6"/>
    <col width="34" customWidth="1" min="7" max="7"/>
    <col width="6" customWidth="1" min="8" max="8"/>
    <col width="6" customWidth="1" min="9" max="9"/>
    <col width="7" customWidth="1" min="10" max="10"/>
    <col width="8" customWidth="1" min="11" max="11"/>
    <col width="52" customWidth="1" min="12" max="12"/>
    <col width="40" customWidth="1" min="13" max="13"/>
    <col width="32" customWidth="1" min="14" max="14"/>
    <col width="12" customWidth="1" min="15" max="15"/>
    <col width="8" customWidth="1" min="16" max="16"/>
    <col width="9" customWidth="1" min="17" max="17"/>
  </cols>
  <sheetData>
    <row r="1" ht="24" customHeight="1">
      <c r="A1" s="47" t="inlineStr">
        <is>
          <t>③ リスク管理表｜各フェーズで配偶者との関係が悪化する想定リスクと対策</t>
        </is>
      </c>
      <c r="F1" s="2" t="inlineStr">
        <is>
          <t>確率×影響でスコアと優先度が自動計算されます</t>
        </is>
      </c>
    </row>
    <row r="2" ht="36" customHeight="1">
      <c r="A2" s="48" t="inlineStr">
        <is>
          <t>リスクID</t>
        </is>
      </c>
      <c r="B2" s="48" t="inlineStr">
        <is>
          <t>フェーズ</t>
        </is>
      </c>
      <c r="C2" s="48" t="inlineStr">
        <is>
          <t>分類</t>
        </is>
      </c>
      <c r="D2" s="48" t="inlineStr">
        <is>
          <t>リスク事象</t>
        </is>
      </c>
      <c r="E2" s="48" t="inlineStr">
        <is>
          <t>典型的な場面</t>
        </is>
      </c>
      <c r="F2" s="48" t="inlineStr">
        <is>
          <t>早期サイン（黄信号）</t>
        </is>
      </c>
      <c r="G2" s="48" t="inlineStr">
        <is>
          <t>相手側から見えている景色</t>
        </is>
      </c>
      <c r="H2" s="48" t="inlineStr">
        <is>
          <t>確率
(1-5)</t>
        </is>
      </c>
      <c r="I2" s="48" t="inlineStr">
        <is>
          <t>影響
(1-5)</t>
        </is>
      </c>
      <c r="J2" s="48" t="inlineStr">
        <is>
          <t>スコア</t>
        </is>
      </c>
      <c r="K2" s="48" t="inlineStr">
        <is>
          <t>優先度</t>
        </is>
      </c>
      <c r="L2" s="48" t="inlineStr">
        <is>
          <t>予防策（起きる前にやること）</t>
        </is>
      </c>
      <c r="M2" s="48" t="inlineStr">
        <is>
          <t>発生時の初動（24時間以内）</t>
        </is>
      </c>
      <c r="N2" s="48" t="inlineStr">
        <is>
          <t>再発防止（構造の変更）</t>
        </is>
      </c>
      <c r="O2" s="48" t="inlineStr">
        <is>
          <t>オーナー</t>
        </is>
      </c>
      <c r="P2" s="48" t="inlineStr">
        <is>
          <t>見直し</t>
        </is>
      </c>
      <c r="Q2" s="48" t="inlineStr">
        <is>
          <t>状態</t>
        </is>
      </c>
    </row>
    <row r="3">
      <c r="A3" s="42" t="inlineStr">
        <is>
          <t>R001</t>
        </is>
      </c>
      <c r="B3" s="42" t="inlineStr">
        <is>
          <t>P1</t>
        </is>
      </c>
      <c r="C3" s="42" t="inlineStr">
        <is>
          <t>家事</t>
        </is>
      </c>
      <c r="D3" s="49" t="inlineStr">
        <is>
          <t>家事分担の不公平感が言語化されないまま蓄積する</t>
        </is>
      </c>
      <c r="E3" s="45" t="inlineStr">
        <is>
          <t>片方が「気づいた方がやる」方式で回している</t>
        </is>
      </c>
      <c r="F3" s="45" t="inlineStr">
        <is>
          <t>ため息が増える／「私ばっかり」が出る／黙って先にやってしまう</t>
        </is>
      </c>
      <c r="G3" s="45" t="inlineStr">
        <is>
          <t>やっている側：見えない仕事が全部自分に乗っている。やっていない側：頼まれれば やるのに言われない</t>
        </is>
      </c>
      <c r="H3" s="38" t="n">
        <v>4</v>
      </c>
      <c r="I3" s="38" t="n">
        <v>3</v>
      </c>
      <c r="J3" s="42">
        <f>H3*I3</f>
        <v/>
      </c>
      <c r="K3" s="42">
        <f>IF(J3&gt;=16,"最優先",IF(J3&gt;=12,"高",IF(J3&gt;=6,"中","低")))</f>
        <v/>
      </c>
      <c r="L3" s="45" t="inlineStr">
        <is>
          <t>家事を50項目に分解して所要時間を入れ、合計が偏っていないか数字で確認する。名前のない家事（日用品の在庫管理、献立を考える、ゴミ袋の補充）を必ず入れる</t>
        </is>
      </c>
      <c r="M3" s="45" t="inlineStr">
        <is>
          <t>その場で分担表を開き、偏っている項目を移す。「ありがとう」ではなく担当そのものを動かす</t>
        </is>
      </c>
      <c r="N3" s="45" t="inlineStr">
        <is>
          <t>月1回の棚卸しを定例化する。指示待ちが起きる項目は領域ごとオーナーを渡す</t>
        </is>
      </c>
      <c r="O3" s="42" t="inlineStr">
        <is>
          <t>2人</t>
        </is>
      </c>
      <c r="P3" s="42" t="inlineStr">
        <is>
          <t>月1回</t>
        </is>
      </c>
      <c r="Q3" s="38" t="inlineStr">
        <is>
          <t>未着手</t>
        </is>
      </c>
    </row>
    <row r="4">
      <c r="A4" s="39" t="inlineStr">
        <is>
          <t>R002</t>
        </is>
      </c>
      <c r="B4" s="39" t="inlineStr">
        <is>
          <t>P1</t>
        </is>
      </c>
      <c r="C4" s="39" t="inlineStr">
        <is>
          <t>お金</t>
        </is>
      </c>
      <c r="D4" s="50" t="inlineStr">
        <is>
          <t>金銭感覚の差が不信につながる</t>
        </is>
      </c>
      <c r="E4" s="24" t="inlineStr">
        <is>
          <t>片方の趣味・交際費への支出が見えない</t>
        </is>
      </c>
      <c r="F4" s="24" t="inlineStr">
        <is>
          <t>支出の話題を避ける／隠れて買う／レシートを捨てる</t>
        </is>
      </c>
      <c r="G4" s="24" t="inlineStr">
        <is>
          <t>使う側：自分の稼ぎから出しているのに責められる。見ている側：将来の貯蓄が崩れるのが怖い</t>
        </is>
      </c>
      <c r="H4" s="38" t="n">
        <v>3</v>
      </c>
      <c r="I4" s="38" t="n">
        <v>4</v>
      </c>
      <c r="J4" s="39">
        <f>H4*I4</f>
        <v/>
      </c>
      <c r="K4" s="39">
        <f>IF(J4&gt;=16,"最優先",IF(J4&gt;=12,"高",IF(J4&gt;=6,"中","低")))</f>
        <v/>
      </c>
      <c r="L4" s="24" t="inlineStr">
        <is>
          <t>共通口座＋各自の自由費（金額を明示）の二層構造にする。自由費の中身には口を出さないと明文化する</t>
        </is>
      </c>
      <c r="M4" s="24" t="inlineStr">
        <is>
          <t>責める前に構造を疑う。自由費の額が実態と合っていない可能性が高いので、金額の見直しから入る</t>
        </is>
      </c>
      <c r="N4" s="24" t="inlineStr">
        <is>
          <t>収入が変わるたびに自由費の額を再設定する</t>
        </is>
      </c>
      <c r="O4" s="39" t="inlineStr">
        <is>
          <t>2人</t>
        </is>
      </c>
      <c r="P4" s="39" t="inlineStr">
        <is>
          <t>月1回</t>
        </is>
      </c>
      <c r="Q4" s="38" t="inlineStr">
        <is>
          <t>未着手</t>
        </is>
      </c>
    </row>
    <row r="5">
      <c r="A5" s="42" t="inlineStr">
        <is>
          <t>R003</t>
        </is>
      </c>
      <c r="B5" s="42" t="inlineStr">
        <is>
          <t>P1</t>
        </is>
      </c>
      <c r="C5" s="42" t="inlineStr">
        <is>
          <t>生活</t>
        </is>
      </c>
      <c r="D5" s="49" t="inlineStr">
        <is>
          <t>清潔基準・生活リズムの差で摩耗する</t>
        </is>
      </c>
      <c r="E5" s="45" t="inlineStr">
        <is>
          <t>在宅勤務、夜型と朝型、片付けの許容ライン</t>
        </is>
      </c>
      <c r="F5" s="45" t="inlineStr">
        <is>
          <t>無言で片付ける／相手の物を勝手に動かす／舌打ち</t>
        </is>
      </c>
      <c r="G5" s="45" t="inlineStr">
        <is>
          <t>基準が高い側：常に自分が我慢している。低い側：勝手に決められた基準を押し付けられている</t>
        </is>
      </c>
      <c r="H5" s="38" t="n">
        <v>4</v>
      </c>
      <c r="I5" s="38" t="n">
        <v>2</v>
      </c>
      <c r="J5" s="42">
        <f>H5*I5</f>
        <v/>
      </c>
      <c r="K5" s="42">
        <f>IF(J5&gt;=16,"最優先",IF(J5&gt;=12,"高",IF(J5&gt;=6,"中","低")))</f>
        <v/>
      </c>
      <c r="L5" s="45" t="inlineStr">
        <is>
          <t>共有スペースの基準だけを2人で決め、写真で残す。個人スペースは干渉しないと合意する</t>
        </is>
      </c>
      <c r="M5" s="45" t="inlineStr">
        <is>
          <t>基準を再交渉する。相手を変えようとせず、掃除の外注か物理的なゾーニングで解決する</t>
        </is>
      </c>
      <c r="N5" s="45" t="inlineStr">
        <is>
          <t>基準を守れない項目は人ではなく仕組み（ロボット掃除機・収納の追加）に寄せる</t>
        </is>
      </c>
      <c r="O5" s="42" t="inlineStr">
        <is>
          <t>2人</t>
        </is>
      </c>
      <c r="P5" s="42" t="inlineStr">
        <is>
          <t>月1回</t>
        </is>
      </c>
      <c r="Q5" s="38" t="inlineStr">
        <is>
          <t>未着手</t>
        </is>
      </c>
    </row>
    <row r="6">
      <c r="A6" s="39" t="inlineStr">
        <is>
          <t>R004</t>
        </is>
      </c>
      <c r="B6" s="39" t="inlineStr">
        <is>
          <t>P1</t>
        </is>
      </c>
      <c r="C6" s="39" t="inlineStr">
        <is>
          <t>住まい</t>
        </is>
      </c>
      <c r="D6" s="50" t="inlineStr">
        <is>
          <t>エリア選定を今の通勤だけで決め、出産後に住み替えが必要になる</t>
        </is>
      </c>
      <c r="E6" s="24" t="inlineStr">
        <is>
          <t>駅近・職場の近さだけで物件を決めた</t>
        </is>
      </c>
      <c r="F6" s="24" t="inlineStr">
        <is>
          <t>保育園の待機児童数を調べていない／2LDKへの住み替えの話が出ていない</t>
        </is>
      </c>
      <c r="G6" s="24" t="inlineStr">
        <is>
          <t>決めた側：今の生活を最適化しただけ。もう一方：将来の話をしてくれない</t>
        </is>
      </c>
      <c r="H6" s="38" t="n">
        <v>3</v>
      </c>
      <c r="I6" s="38" t="n">
        <v>4</v>
      </c>
      <c r="J6" s="39">
        <f>H6*I6</f>
        <v/>
      </c>
      <c r="K6" s="39">
        <f>IF(J6&gt;=16,"最優先",IF(J6&gt;=12,"高",IF(J6&gt;=6,"中","低")))</f>
        <v/>
      </c>
      <c r="L6" s="24" t="inlineStr">
        <is>
          <t>契約前に、その自治体の待機児童数・内定最低指数・子ども医療費助成・保育料減免を1時間だけ調べる。子どもを持つ予定なら更新2年で見直す前提にしておく</t>
        </is>
      </c>
      <c r="M6" s="24" t="inlineStr">
        <is>
          <t>妊娠中期までに引っ越す（それ以降は現実的に不可能）。認可の申込前に住民票を移す</t>
        </is>
      </c>
      <c r="N6" s="24" t="inlineStr">
        <is>
          <t>契約更新のたびに「このまま子育てできるか」を議題にする</t>
        </is>
      </c>
      <c r="O6" s="39" t="inlineStr">
        <is>
          <t>2人</t>
        </is>
      </c>
      <c r="P6" s="39" t="inlineStr">
        <is>
          <t>月1回</t>
        </is>
      </c>
      <c r="Q6" s="38" t="inlineStr">
        <is>
          <t>未着手</t>
        </is>
      </c>
    </row>
    <row r="7">
      <c r="A7" s="42" t="inlineStr">
        <is>
          <t>R005</t>
        </is>
      </c>
      <c r="B7" s="42" t="inlineStr">
        <is>
          <t>P1</t>
        </is>
      </c>
      <c r="C7" s="42" t="inlineStr">
        <is>
          <t>住まい</t>
        </is>
      </c>
      <c r="D7" s="49" t="inlineStr">
        <is>
          <t>初期費用・家具の負担が偏り、解消時に揉める</t>
        </is>
      </c>
      <c r="E7" s="45" t="inlineStr">
        <is>
          <t>片方が家電を全部買った／名義があいまい</t>
        </is>
      </c>
      <c r="F7" s="45" t="inlineStr">
        <is>
          <t>「これは自分が買った」が会話に出る</t>
        </is>
      </c>
      <c r="G7" s="45" t="inlineStr">
        <is>
          <t>多く出した側：損をしている。少ない側：金額でしか評価されていない</t>
        </is>
      </c>
      <c r="H7" s="38" t="n">
        <v>2</v>
      </c>
      <c r="I7" s="38" t="n">
        <v>3</v>
      </c>
      <c r="J7" s="42">
        <f>H7*I7</f>
        <v/>
      </c>
      <c r="K7" s="42">
        <f>IF(J7&gt;=16,"最優先",IF(J7&gt;=12,"高",IF(J7&gt;=6,"中","低")))</f>
        <v/>
      </c>
      <c r="L7" s="45" t="inlineStr">
        <is>
          <t>5万円以上の物は名義と解消時の扱いを書面に残す</t>
        </is>
      </c>
      <c r="M7" s="45" t="inlineStr">
        <is>
          <t>リストに戻って確認する。感情ではなく取り決めで処理する</t>
        </is>
      </c>
      <c r="N7" s="45" t="inlineStr">
        <is>
          <t>高額な物は共通口座から買う運用に変える</t>
        </is>
      </c>
      <c r="O7" s="42" t="inlineStr">
        <is>
          <t>2人</t>
        </is>
      </c>
      <c r="P7" s="42" t="inlineStr">
        <is>
          <t>月1回</t>
        </is>
      </c>
      <c r="Q7" s="38" t="inlineStr">
        <is>
          <t>未着手</t>
        </is>
      </c>
    </row>
    <row r="8">
      <c r="A8" s="39" t="inlineStr">
        <is>
          <t>R006</t>
        </is>
      </c>
      <c r="B8" s="39" t="inlineStr">
        <is>
          <t>P1</t>
        </is>
      </c>
      <c r="C8" s="39" t="inlineStr">
        <is>
          <t>コミュニケーション</t>
        </is>
      </c>
      <c r="D8" s="50" t="inlineStr">
        <is>
          <t>「言わなくても分かるはず」の期待値ギャップ</t>
        </is>
      </c>
      <c r="E8" s="24" t="inlineStr">
        <is>
          <t>察してほしい側と、言われないと分からない側</t>
        </is>
      </c>
      <c r="F8" s="24" t="inlineStr">
        <is>
          <t>不機嫌な沈黙が増える／「なんで分からないの」が出る</t>
        </is>
      </c>
      <c r="G8" s="24" t="inlineStr">
        <is>
          <t>察してほしい側：大事にされていない。言われたい側：突然怒られる理由が分からない</t>
        </is>
      </c>
      <c r="H8" s="38" t="n">
        <v>4</v>
      </c>
      <c r="I8" s="38" t="n">
        <v>3</v>
      </c>
      <c r="J8" s="39">
        <f>H8*I8</f>
        <v/>
      </c>
      <c r="K8" s="39">
        <f>IF(J8&gt;=16,"最優先",IF(J8&gt;=12,"高",IF(J8&gt;=6,"中","低")))</f>
        <v/>
      </c>
      <c r="L8" s="24" t="inlineStr">
        <is>
          <t>「察するのを期待しない、言葉で言う」を2人のルールとして明文化する。週次ミーティングで言えていないことを話す枠を作る</t>
        </is>
      </c>
      <c r="M8" s="24" t="inlineStr">
        <is>
          <t>その場で「何をしてほしかったのか」を具体的な行動レベルで言語化してもらう</t>
        </is>
      </c>
      <c r="N8" s="24" t="inlineStr">
        <is>
          <t>定例の場で不満を溜めない仕組みにする</t>
        </is>
      </c>
      <c r="O8" s="39" t="inlineStr">
        <is>
          <t>2人</t>
        </is>
      </c>
      <c r="P8" s="39" t="inlineStr">
        <is>
          <t>月1回</t>
        </is>
      </c>
      <c r="Q8" s="38" t="inlineStr">
        <is>
          <t>未着手</t>
        </is>
      </c>
    </row>
    <row r="9">
      <c r="A9" s="42" t="inlineStr">
        <is>
          <t>R007</t>
        </is>
      </c>
      <c r="B9" s="42" t="inlineStr">
        <is>
          <t>P1</t>
        </is>
      </c>
      <c r="C9" s="42" t="inlineStr">
        <is>
          <t>親族</t>
        </is>
      </c>
      <c r="D9" s="49" t="inlineStr">
        <is>
          <t>相手の親との距離感が合わない</t>
        </is>
      </c>
      <c r="E9" s="45" t="inlineStr">
        <is>
          <t>頻繁に連絡が来る／逆に全く関わらない</t>
        </is>
      </c>
      <c r="F9" s="45" t="inlineStr">
        <is>
          <t>実家の話題を避ける／連絡を無視する</t>
        </is>
      </c>
      <c r="G9" s="45" t="inlineStr">
        <is>
          <t>近い側：家族なんだから当たり前。遠い側：自分の家庭に踏み込まれている</t>
        </is>
      </c>
      <c r="H9" s="38" t="n">
        <v>3</v>
      </c>
      <c r="I9" s="38" t="n">
        <v>3</v>
      </c>
      <c r="J9" s="42">
        <f>H9*I9</f>
        <v/>
      </c>
      <c r="K9" s="42">
        <f>IF(J9&gt;=16,"最優先",IF(J9&gt;=12,"高",IF(J9&gt;=6,"中","低")))</f>
        <v/>
      </c>
      <c r="L9" s="45" t="inlineStr">
        <is>
          <t>訪問頻度・宿泊・連絡手段のルールを先に決める。義実家への要望は各自が自分の実親に伝える</t>
        </is>
      </c>
      <c r="M9" s="45" t="inlineStr">
        <is>
          <t>自分の実親に自分で伝える。相手に矢面に立たせない</t>
        </is>
      </c>
      <c r="N9" s="45" t="inlineStr">
        <is>
          <t>年に1回、距離感のルールを見直す</t>
        </is>
      </c>
      <c r="O9" s="42" t="inlineStr">
        <is>
          <t>2人</t>
        </is>
      </c>
      <c r="P9" s="42" t="inlineStr">
        <is>
          <t>月1回</t>
        </is>
      </c>
      <c r="Q9" s="38" t="inlineStr">
        <is>
          <t>未着手</t>
        </is>
      </c>
    </row>
    <row r="10">
      <c r="A10" s="39" t="inlineStr">
        <is>
          <t>R008</t>
        </is>
      </c>
      <c r="B10" s="39" t="inlineStr">
        <is>
          <t>P1</t>
        </is>
      </c>
      <c r="C10" s="39" t="inlineStr">
        <is>
          <t>方針</t>
        </is>
      </c>
      <c r="D10" s="50" t="inlineStr">
        <is>
          <t>同棲が長期化し、結婚の話が進まない</t>
        </is>
      </c>
      <c r="E10" s="24" t="inlineStr">
        <is>
          <t>生活が快適で、現状維持のコストが低い</t>
        </is>
      </c>
      <c r="F10" s="24" t="inlineStr">
        <is>
          <t>結婚の話題が出なくなる／片方だけが焦っている</t>
        </is>
      </c>
      <c r="G10" s="24" t="inlineStr">
        <is>
          <t>急がない側：今が幸せなのに何が不満なのか。焦る側：年齢と妊娠の可能性が削られていく</t>
        </is>
      </c>
      <c r="H10" s="38" t="n">
        <v>3</v>
      </c>
      <c r="I10" s="38" t="n">
        <v>4</v>
      </c>
      <c r="J10" s="39">
        <f>H10*I10</f>
        <v/>
      </c>
      <c r="K10" s="39">
        <f>IF(J10&gt;=16,"最優先",IF(J10&gt;=12,"高",IF(J10&gt;=6,"中","低")))</f>
        <v/>
      </c>
      <c r="L10" s="24" t="inlineStr">
        <is>
          <t>同棲開始時に「◯年◯月までに結論を出す」と期限を切り、カレンダーに入れておく</t>
        </is>
      </c>
      <c r="M10" s="24" t="inlineStr">
        <is>
          <t>期限が来たら必ず話す。曖昧なまま延長しない。年齢と妊娠率の関係を数字で共有する</t>
        </is>
      </c>
      <c r="N10" s="24" t="inlineStr">
        <is>
          <t>半年ごとに進捗を確認する議題を入れる</t>
        </is>
      </c>
      <c r="O10" s="39" t="inlineStr">
        <is>
          <t>2人</t>
        </is>
      </c>
      <c r="P10" s="39" t="inlineStr">
        <is>
          <t>月1回</t>
        </is>
      </c>
      <c r="Q10" s="38" t="inlineStr">
        <is>
          <t>未着手</t>
        </is>
      </c>
    </row>
    <row r="11">
      <c r="A11" s="42" t="inlineStr">
        <is>
          <t>R009</t>
        </is>
      </c>
      <c r="B11" s="42" t="inlineStr">
        <is>
          <t>P1</t>
        </is>
      </c>
      <c r="C11" s="42" t="inlineStr">
        <is>
          <t>時間</t>
        </is>
      </c>
      <c r="D11" s="49" t="inlineStr">
        <is>
          <t>引越し直後の疲労で最初の大喧嘩が起きる</t>
        </is>
      </c>
      <c r="E11" s="45" t="inlineStr">
        <is>
          <t>荷解きが終わらない、想定外の出費、片方だけが動いている</t>
        </is>
      </c>
      <c r="F11" s="45" t="inlineStr">
        <is>
          <t>引越し後1〜2週間で衝突する</t>
        </is>
      </c>
      <c r="G11" s="45" t="inlineStr">
        <is>
          <t>動いている側：自分ばかり。動けていない側：仕事が忙しいのに責められる</t>
        </is>
      </c>
      <c r="H11" s="38" t="n">
        <v>3</v>
      </c>
      <c r="I11" s="38" t="n">
        <v>2</v>
      </c>
      <c r="J11" s="42">
        <f>H11*I11</f>
        <v/>
      </c>
      <c r="K11" s="42">
        <f>IF(J11&gt;=16,"最優先",IF(J11&gt;=12,"高",IF(J11&gt;=6,"中","低")))</f>
        <v/>
      </c>
      <c r="L11" s="45" t="inlineStr">
        <is>
          <t>引越し後2週間は予定を入れず、荷解きの担当エリアを分けておく。外食・宅配を前提に食事を組む</t>
        </is>
      </c>
      <c r="M11" s="45" t="inlineStr">
        <is>
          <t>疲労が原因だと認識して、その日は決着させずに寝る</t>
        </is>
      </c>
      <c r="N11" s="45" t="inlineStr">
        <is>
          <t>大きなイベントの直後は判断も喧嘩も先送りするルールにする</t>
        </is>
      </c>
      <c r="O11" s="42" t="inlineStr">
        <is>
          <t>2人</t>
        </is>
      </c>
      <c r="P11" s="42" t="inlineStr">
        <is>
          <t>月1回</t>
        </is>
      </c>
      <c r="Q11" s="38" t="inlineStr">
        <is>
          <t>未着手</t>
        </is>
      </c>
    </row>
    <row r="12">
      <c r="A12" s="39" t="inlineStr">
        <is>
          <t>R010</t>
        </is>
      </c>
      <c r="B12" s="39" t="inlineStr">
        <is>
          <t>P1</t>
        </is>
      </c>
      <c r="C12" s="39" t="inlineStr">
        <is>
          <t>お金</t>
        </is>
      </c>
      <c r="D12" s="50" t="inlineStr">
        <is>
          <t>共通費の定義が曖昧で、毎月の精算で揉める</t>
        </is>
      </c>
      <c r="E12" s="24" t="inlineStr">
        <is>
          <t>外食・デート代・帰省費が共通か個人かで解釈が違う</t>
        </is>
      </c>
      <c r="F12" s="24" t="inlineStr">
        <is>
          <t>精算のたびに気まずくなる／どちらかが黙って多く払う</t>
        </is>
      </c>
      <c r="G12" s="24" t="inlineStr">
        <is>
          <t>払う側：不公平。もう一方：細かく言われるのが窮屈</t>
        </is>
      </c>
      <c r="H12" s="38" t="n">
        <v>4</v>
      </c>
      <c r="I12" s="38" t="n">
        <v>2</v>
      </c>
      <c r="J12" s="39">
        <f>H12*I12</f>
        <v/>
      </c>
      <c r="K12" s="39">
        <f>IF(J12&gt;=16,"最優先",IF(J12&gt;=12,"高",IF(J12&gt;=6,"中","低")))</f>
        <v/>
      </c>
      <c r="L12" s="24" t="inlineStr">
        <is>
          <t>共通費に入る／入らないを項目単位で文章化する。グレーな項目（外食・デート・帰省）を必ず明記する</t>
        </is>
      </c>
      <c r="M12" s="24" t="inlineStr">
        <is>
          <t>定義に立ち返り、決めていなかった項目をその場で追加する</t>
        </is>
      </c>
      <c r="N12" s="24" t="inlineStr">
        <is>
          <t>毎月のレビューで、揉めた項目を定義に追記していく</t>
        </is>
      </c>
      <c r="O12" s="39" t="inlineStr">
        <is>
          <t>2人</t>
        </is>
      </c>
      <c r="P12" s="39" t="inlineStr">
        <is>
          <t>月1回</t>
        </is>
      </c>
      <c r="Q12" s="38" t="inlineStr">
        <is>
          <t>未着手</t>
        </is>
      </c>
    </row>
    <row r="13">
      <c r="A13" s="42" t="inlineStr">
        <is>
          <t>R011</t>
        </is>
      </c>
      <c r="B13" s="42" t="inlineStr">
        <is>
          <t>P2</t>
        </is>
      </c>
      <c r="C13" s="42" t="inlineStr">
        <is>
          <t>コミュニケーション</t>
        </is>
      </c>
      <c r="D13" s="49" t="inlineStr">
        <is>
          <t>会話が業務連絡だけになる</t>
        </is>
      </c>
      <c r="E13" s="45" t="inlineStr">
        <is>
          <t>生活が回り始め、話すことが減る</t>
        </is>
      </c>
      <c r="F13" s="45" t="inlineStr">
        <is>
          <t>ありがとうを言わなくなる／別々に過ごす時間が増える</t>
        </is>
      </c>
      <c r="G13" s="45" t="inlineStr">
        <is>
          <t>どちらも：相手が自分に興味を失ったように見える</t>
        </is>
      </c>
      <c r="H13" s="38" t="n">
        <v>4</v>
      </c>
      <c r="I13" s="38" t="n">
        <v>3</v>
      </c>
      <c r="J13" s="42">
        <f>H13*I13</f>
        <v/>
      </c>
      <c r="K13" s="42">
        <f>IF(J13&gt;=16,"最優先",IF(J13&gt;=12,"高",IF(J13&gt;=6,"中","低")))</f>
        <v/>
      </c>
      <c r="L13" s="45" t="inlineStr">
        <is>
          <t>週1回15分のミーティングを定例化し、「子ども・家事・お金以外の話」を1つ入れる</t>
        </is>
      </c>
      <c r="M13" s="45" t="inlineStr">
        <is>
          <t>外で2人だけの時間を作る。1〜2時間でも効果がある</t>
        </is>
      </c>
      <c r="N13" s="45" t="inlineStr">
        <is>
          <t>定例を止めない。忙しい時期ほど短くても続ける</t>
        </is>
      </c>
      <c r="O13" s="42" t="inlineStr">
        <is>
          <t>2人</t>
        </is>
      </c>
      <c r="P13" s="42" t="inlineStr">
        <is>
          <t>月1回</t>
        </is>
      </c>
      <c r="Q13" s="38" t="inlineStr">
        <is>
          <t>未着手</t>
        </is>
      </c>
    </row>
    <row r="14">
      <c r="A14" s="39" t="inlineStr">
        <is>
          <t>R012</t>
        </is>
      </c>
      <c r="B14" s="39" t="inlineStr">
        <is>
          <t>P2</t>
        </is>
      </c>
      <c r="C14" s="39" t="inlineStr">
        <is>
          <t>お金</t>
        </is>
      </c>
      <c r="D14" s="50" t="inlineStr">
        <is>
          <t>貯蓄が計画どおりに進まない</t>
        </is>
      </c>
      <c r="E14" s="24" t="inlineStr">
        <is>
          <t>支出の見積もりが甘い／収入変動</t>
        </is>
      </c>
      <c r="F14" s="24" t="inlineStr">
        <is>
          <t>3ヶ月連続で目標額に届かない</t>
        </is>
      </c>
      <c r="G14" s="24" t="inlineStr">
        <is>
          <t>貯めたい側：将来が不安。使いたい側：今を楽しめない</t>
        </is>
      </c>
      <c r="H14" s="38" t="n">
        <v>3</v>
      </c>
      <c r="I14" s="38" t="n">
        <v>3</v>
      </c>
      <c r="J14" s="39">
        <f>H14*I14</f>
        <v/>
      </c>
      <c r="K14" s="39">
        <f>IF(J14&gt;=16,"最優先",IF(J14&gt;=12,"高",IF(J14&gt;=6,"中","低")))</f>
        <v/>
      </c>
      <c r="L14" s="24" t="inlineStr">
        <is>
          <t>目的別に口座を分けて自動積立にする。手動での貯蓄は続かない</t>
        </is>
      </c>
      <c r="M14" s="24" t="inlineStr">
        <is>
          <t>目標額か期日のどちらかを現実に合わせて下方修正する。放置しない</t>
        </is>
      </c>
      <c r="N14" s="24" t="inlineStr">
        <is>
          <t>収入が変わったら積立額を機械的に再計算する</t>
        </is>
      </c>
      <c r="O14" s="39" t="inlineStr">
        <is>
          <t>2人</t>
        </is>
      </c>
      <c r="P14" s="39" t="inlineStr">
        <is>
          <t>月1回</t>
        </is>
      </c>
      <c r="Q14" s="38" t="inlineStr">
        <is>
          <t>未着手</t>
        </is>
      </c>
    </row>
    <row r="15">
      <c r="A15" s="42" t="inlineStr">
        <is>
          <t>R013</t>
        </is>
      </c>
      <c r="B15" s="42" t="inlineStr">
        <is>
          <t>P2</t>
        </is>
      </c>
      <c r="C15" s="42" t="inlineStr">
        <is>
          <t>家事</t>
        </is>
      </c>
      <c r="D15" s="49" t="inlineStr">
        <is>
          <t>分担表が形骸化する</t>
        </is>
      </c>
      <c r="E15" s="45" t="inlineStr">
        <is>
          <t>作ったが誰も見ていない</t>
        </is>
      </c>
      <c r="F15" s="45" t="inlineStr">
        <is>
          <t>分担表の場所を思い出せない</t>
        </is>
      </c>
      <c r="G15" s="45" t="inlineStr">
        <is>
          <t>作った側：また自分が全部やっている</t>
        </is>
      </c>
      <c r="H15" s="38" t="n">
        <v>4</v>
      </c>
      <c r="I15" s="38" t="n">
        <v>2</v>
      </c>
      <c r="J15" s="42">
        <f>H15*I15</f>
        <v/>
      </c>
      <c r="K15" s="42">
        <f>IF(J15&gt;=16,"最優先",IF(J15&gt;=12,"高",IF(J15&gt;=6,"中","低")))</f>
        <v/>
      </c>
      <c r="L15" s="45" t="inlineStr">
        <is>
          <t>月1回の見直しをカレンダーに入れる。実績を所要時間で測り直す</t>
        </is>
      </c>
      <c r="M15" s="45" t="inlineStr">
        <is>
          <t>作り直すのではなく、実態に合わせて書き換える</t>
        </is>
      </c>
      <c r="N15" s="45" t="inlineStr">
        <is>
          <t>分担表を家計レビューと同じ日に見る運用にする</t>
        </is>
      </c>
      <c r="O15" s="42" t="inlineStr">
        <is>
          <t>2人</t>
        </is>
      </c>
      <c r="P15" s="42" t="inlineStr">
        <is>
          <t>月1回</t>
        </is>
      </c>
      <c r="Q15" s="38" t="inlineStr">
        <is>
          <t>未着手</t>
        </is>
      </c>
    </row>
    <row r="16">
      <c r="A16" s="39" t="inlineStr">
        <is>
          <t>R014</t>
        </is>
      </c>
      <c r="B16" s="39" t="inlineStr">
        <is>
          <t>P2</t>
        </is>
      </c>
      <c r="C16" s="39" t="inlineStr">
        <is>
          <t>お金</t>
        </is>
      </c>
      <c r="D16" s="50" t="inlineStr">
        <is>
          <t>自由に使える額が決まっておらず、支出のたびに交渉になる</t>
        </is>
      </c>
      <c r="E16" s="24" t="inlineStr">
        <is>
          <t>高額な買い物、趣味への課金</t>
        </is>
      </c>
      <c r="F16" s="24" t="inlineStr">
        <is>
          <t>買う前に許可を取る空気ができている／隠して買う</t>
        </is>
      </c>
      <c r="G16" s="24" t="inlineStr">
        <is>
          <t>使う側：管理されている。もう一方：勝手に決められる</t>
        </is>
      </c>
      <c r="H16" s="38" t="n">
        <v>3</v>
      </c>
      <c r="I16" s="38" t="n">
        <v>3</v>
      </c>
      <c r="J16" s="39">
        <f>H16*I16</f>
        <v/>
      </c>
      <c r="K16" s="39">
        <f>IF(J16&gt;=16,"最優先",IF(J16&gt;=12,"高",IF(J16&gt;=6,"中","低")))</f>
        <v/>
      </c>
      <c r="L16" s="24" t="inlineStr">
        <is>
          <t>各自の自由費の上限を数字で決め、その中では相手が口を出さないと合意する</t>
        </is>
      </c>
      <c r="M16" s="24" t="inlineStr">
        <is>
          <t>上限額を見直す。金額の問題か、相談がないことの問題かを切り分ける</t>
        </is>
      </c>
      <c r="N16" s="24" t="inlineStr">
        <is>
          <t>収入変動のたびに自由費を見直す</t>
        </is>
      </c>
      <c r="O16" s="39" t="inlineStr">
        <is>
          <t>2人</t>
        </is>
      </c>
      <c r="P16" s="39" t="inlineStr">
        <is>
          <t>月1回</t>
        </is>
      </c>
      <c r="Q16" s="38" t="inlineStr">
        <is>
          <t>未着手</t>
        </is>
      </c>
    </row>
    <row r="17">
      <c r="A17" s="42" t="inlineStr">
        <is>
          <t>R015</t>
        </is>
      </c>
      <c r="B17" s="42" t="inlineStr">
        <is>
          <t>P2</t>
        </is>
      </c>
      <c r="C17" s="42" t="inlineStr">
        <is>
          <t>キャリア</t>
        </is>
      </c>
      <c r="D17" s="49" t="inlineStr">
        <is>
          <t>転職・異動の話が事後報告になる</t>
        </is>
      </c>
      <c r="E17" s="45" t="inlineStr">
        <is>
          <t>片方が勝手に決めて報告する</t>
        </is>
      </c>
      <c r="F17" s="45" t="inlineStr">
        <is>
          <t>「もう決めた」から始まる会話</t>
        </is>
      </c>
      <c r="G17" s="45" t="inlineStr">
        <is>
          <t>決めた側：自分のキャリアは自分のもの。もう一方：2人の生活の前提が勝手に変わる</t>
        </is>
      </c>
      <c r="H17" s="38" t="n">
        <v>2</v>
      </c>
      <c r="I17" s="38" t="n">
        <v>4</v>
      </c>
      <c r="J17" s="42">
        <f>H17*I17</f>
        <v/>
      </c>
      <c r="K17" s="42">
        <f>IF(J17&gt;=16,"最優先",IF(J17&gt;=12,"高",IF(J17&gt;=6,"中","低")))</f>
        <v/>
      </c>
      <c r="L17" s="45" t="inlineStr">
        <is>
          <t>3年計画を共有し、キャリアの節目は決める前に議題に上げると合意する</t>
        </is>
      </c>
      <c r="M17" s="45" t="inlineStr">
        <is>
          <t>決定を一度保留にして、生活への影響を洗い出してから再決定する</t>
        </is>
      </c>
      <c r="N17" s="45" t="inlineStr">
        <is>
          <t>半年ごとにキャリアの予定を突き合わせる</t>
        </is>
      </c>
      <c r="O17" s="42" t="inlineStr">
        <is>
          <t>2人</t>
        </is>
      </c>
      <c r="P17" s="42" t="inlineStr">
        <is>
          <t>月1回</t>
        </is>
      </c>
      <c r="Q17" s="38" t="inlineStr">
        <is>
          <t>未着手</t>
        </is>
      </c>
    </row>
    <row r="18">
      <c r="A18" s="39" t="inlineStr">
        <is>
          <t>R016</t>
        </is>
      </c>
      <c r="B18" s="39" t="inlineStr">
        <is>
          <t>P2</t>
        </is>
      </c>
      <c r="C18" s="39" t="inlineStr">
        <is>
          <t>健康</t>
        </is>
      </c>
      <c r="D18" s="50" t="inlineStr">
        <is>
          <t>片方の心身の不調が共有されない</t>
        </is>
      </c>
      <c r="E18" s="24" t="inlineStr">
        <is>
          <t>仕事のストレス、睡眠不足、持病</t>
        </is>
      </c>
      <c r="F18" s="24" t="inlineStr">
        <is>
          <t>元気がない／病院に行きたがらない</t>
        </is>
      </c>
      <c r="G18" s="24" t="inlineStr">
        <is>
          <t>不調な側：心配をかけたくない。もう一方：何も話してくれない</t>
        </is>
      </c>
      <c r="H18" s="38" t="n">
        <v>3</v>
      </c>
      <c r="I18" s="38" t="n">
        <v>3</v>
      </c>
      <c r="J18" s="39">
        <f>H18*I18</f>
        <v/>
      </c>
      <c r="K18" s="39">
        <f>IF(J18&gt;=16,"最優先",IF(J18&gt;=12,"高",IF(J18&gt;=6,"中","低")))</f>
        <v/>
      </c>
      <c r="L18" s="24" t="inlineStr">
        <is>
          <t>週次ミーティングに「体調・気分」を固定項目として入れる</t>
        </is>
      </c>
      <c r="M18" s="24" t="inlineStr">
        <is>
          <t>受診を提案するのではなく、予約を代わりに取る</t>
        </is>
      </c>
      <c r="N18" s="24" t="inlineStr">
        <is>
          <t>体調の話を毎週する習慣にすることで、産後の異変にも気づける</t>
        </is>
      </c>
      <c r="O18" s="39" t="inlineStr">
        <is>
          <t>2人</t>
        </is>
      </c>
      <c r="P18" s="39" t="inlineStr">
        <is>
          <t>月1回</t>
        </is>
      </c>
      <c r="Q18" s="38" t="inlineStr">
        <is>
          <t>未着手</t>
        </is>
      </c>
    </row>
    <row r="19">
      <c r="A19" s="42" t="inlineStr">
        <is>
          <t>R017</t>
        </is>
      </c>
      <c r="B19" s="42" t="inlineStr">
        <is>
          <t>P2</t>
        </is>
      </c>
      <c r="C19" s="42" t="inlineStr">
        <is>
          <t>親族</t>
        </is>
      </c>
      <c r="D19" s="49" t="inlineStr">
        <is>
          <t>帰省の頻度・滞在日数が片方に負担</t>
        </is>
      </c>
      <c r="E19" s="45" t="inlineStr">
        <is>
          <t>年末年始・盆の帰省</t>
        </is>
      </c>
      <c r="F19" s="45" t="inlineStr">
        <is>
          <t>帰省の話題で不機嫌になる／体調を崩す</t>
        </is>
      </c>
      <c r="G19" s="45" t="inlineStr">
        <is>
          <t>行きたい側：年に数回なのに。行きたくない側：気を使い続けて休めない</t>
        </is>
      </c>
      <c r="H19" s="38" t="n">
        <v>3</v>
      </c>
      <c r="I19" s="38" t="n">
        <v>3</v>
      </c>
      <c r="J19" s="42">
        <f>H19*I19</f>
        <v/>
      </c>
      <c r="K19" s="42">
        <f>IF(J19&gt;=16,"最優先",IF(J19&gt;=12,"高",IF(J19&gt;=6,"中","低")))</f>
        <v/>
      </c>
      <c r="L19" s="45" t="inlineStr">
        <is>
          <t>帰省の日数・宿泊の有無を事前に決める。ホテル泊を選択肢に入れる</t>
        </is>
      </c>
      <c r="M19" s="45" t="inlineStr">
        <is>
          <t>滞在を短縮する。各自が自分の実親に伝える</t>
        </is>
      </c>
      <c r="N19" s="45" t="inlineStr">
        <is>
          <t>帰省の型を毎年同じにして、都度交渉しなくてよいようにする</t>
        </is>
      </c>
      <c r="O19" s="42" t="inlineStr">
        <is>
          <t>2人</t>
        </is>
      </c>
      <c r="P19" s="42" t="inlineStr">
        <is>
          <t>月1回</t>
        </is>
      </c>
      <c r="Q19" s="38" t="inlineStr">
        <is>
          <t>未着手</t>
        </is>
      </c>
    </row>
    <row r="20">
      <c r="A20" s="39" t="inlineStr">
        <is>
          <t>R018</t>
        </is>
      </c>
      <c r="B20" s="39" t="inlineStr">
        <is>
          <t>P2</t>
        </is>
      </c>
      <c r="C20" s="39" t="inlineStr">
        <is>
          <t>コミュニケーション</t>
        </is>
      </c>
      <c r="D20" s="50" t="inlineStr">
        <is>
          <t>喧嘩がエスカレートして修復に時間がかかる</t>
        </is>
      </c>
      <c r="E20" s="24" t="inlineStr">
        <is>
          <t>疲労と睡眠不足のときの些細なきっかけ</t>
        </is>
      </c>
      <c r="F20" s="24" t="inlineStr">
        <is>
          <t>人格否定が出る／過去を持ち出す／黙って外出する</t>
        </is>
      </c>
      <c r="G20" s="24" t="inlineStr">
        <is>
          <t>どちらも：自分が我慢して相手が悪いと思っている</t>
        </is>
      </c>
      <c r="H20" s="38" t="n">
        <v>3</v>
      </c>
      <c r="I20" s="38" t="n">
        <v>3</v>
      </c>
      <c r="J20" s="39">
        <f>H20*I20</f>
        <v/>
      </c>
      <c r="K20" s="39">
        <f>IF(J20&gt;=16,"最優先",IF(J20&gt;=12,"高",IF(J20&gt;=6,"中","低")))</f>
        <v/>
      </c>
      <c r="L20" s="24" t="inlineStr">
        <is>
          <t>喧嘩のルール（人格否定禁止・過去を持ち出さない・30分で中断）を平時に決めて紙にする</t>
        </is>
      </c>
      <c r="M20" s="24" t="inlineStr">
        <is>
          <t>ルールを開いて中断する。時間を置いてから再開する</t>
        </is>
      </c>
      <c r="N20" s="24" t="inlineStr">
        <is>
          <t>産後の睡眠不足下では特に効くので、ここで習慣化しておく</t>
        </is>
      </c>
      <c r="O20" s="39" t="inlineStr">
        <is>
          <t>2人</t>
        </is>
      </c>
      <c r="P20" s="39" t="inlineStr">
        <is>
          <t>月1回</t>
        </is>
      </c>
      <c r="Q20" s="38" t="inlineStr">
        <is>
          <t>未着手</t>
        </is>
      </c>
    </row>
    <row r="21">
      <c r="A21" s="42" t="inlineStr">
        <is>
          <t>R019</t>
        </is>
      </c>
      <c r="B21" s="42" t="inlineStr">
        <is>
          <t>P3</t>
        </is>
      </c>
      <c r="C21" s="42" t="inlineStr">
        <is>
          <t>意思決定</t>
        </is>
      </c>
      <c r="D21" s="49" t="inlineStr">
        <is>
          <t>結婚式をやるか・規模をどうするかで対立する</t>
        </is>
      </c>
      <c r="E21" s="45" t="inlineStr">
        <is>
          <t>片方は親のために盛大に、片方は費用を出産に回したい</t>
        </is>
      </c>
      <c r="F21" s="45" t="inlineStr">
        <is>
          <t>話し合いが毎回同じところで止まる／「どっちでもいい」と言い出す</t>
        </is>
      </c>
      <c r="G21" s="45" t="inlineStr">
        <is>
          <t>やりたい側：一生に一度。やりたくない側：数百万円を1日に使う意味が分からない</t>
        </is>
      </c>
      <c r="H21" s="38" t="n">
        <v>4</v>
      </c>
      <c r="I21" s="38" t="n">
        <v>3</v>
      </c>
      <c r="J21" s="42">
        <f>H21*I21</f>
        <v/>
      </c>
      <c r="K21" s="42">
        <f>IF(J21&gt;=16,"最優先",IF(J21&gt;=12,"高",IF(J21&gt;=6,"中","低")))</f>
        <v/>
      </c>
      <c r="L21" s="45" t="inlineStr">
        <is>
          <t>「何のための式か（誰に見せる式か）」を先に一致させてから形式を選ぶ。5形式の概算費用を並べて比較する</t>
        </is>
      </c>
      <c r="M21" s="45" t="inlineStr">
        <is>
          <t>第三案（家族婚＋フォト、会費制）に逃がす。両家の親の希望は各自が自分の親に確認して持ち帰る</t>
        </is>
      </c>
      <c r="N21" s="45" t="inlineStr">
        <is>
          <t>予算の上限を先に決めてから形式を選ぶ順番にする</t>
        </is>
      </c>
      <c r="O21" s="42" t="inlineStr">
        <is>
          <t>2人</t>
        </is>
      </c>
      <c r="P21" s="42" t="inlineStr">
        <is>
          <t>月1回</t>
        </is>
      </c>
      <c r="Q21" s="38" t="inlineStr">
        <is>
          <t>未着手</t>
        </is>
      </c>
    </row>
    <row r="22">
      <c r="A22" s="39" t="inlineStr">
        <is>
          <t>R020</t>
        </is>
      </c>
      <c r="B22" s="39" t="inlineStr">
        <is>
          <t>P3</t>
        </is>
      </c>
      <c r="C22" s="39" t="inlineStr">
        <is>
          <t>親族</t>
        </is>
      </c>
      <c r="D22" s="50" t="inlineStr">
        <is>
          <t>両家の価値観・慣習の差が衝突する</t>
        </is>
      </c>
      <c r="E22" s="24" t="inlineStr">
        <is>
          <t>結納の有無、援助額、宗教、地域の作法</t>
        </is>
      </c>
      <c r="F22" s="24" t="inlineStr">
        <is>
          <t>「うちの地域では」が出る／片方の親が直接口を出してくる</t>
        </is>
      </c>
      <c r="G22" s="24" t="inlineStr">
        <is>
          <t>どちらの家も：自分たちが常識で、相手が非常識</t>
        </is>
      </c>
      <c r="H22" s="38" t="n">
        <v>3</v>
      </c>
      <c r="I22" s="38" t="n">
        <v>4</v>
      </c>
      <c r="J22" s="39">
        <f>H22*I22</f>
        <v/>
      </c>
      <c r="K22" s="39">
        <f>IF(J22&gt;=16,"最優先",IF(J22&gt;=12,"高",IF(J22&gt;=6,"中","低")))</f>
        <v/>
      </c>
      <c r="L22" s="24" t="inlineStr">
        <is>
          <t>各自が自分の実親に確認して持ち帰るをルール化する。相手に相手の親を説得させない</t>
        </is>
      </c>
      <c r="M22" s="24" t="inlineStr">
        <is>
          <t>本人同士で方針を決め、それぞれが自分の親に伝える。親同士を直接交渉させない</t>
        </is>
      </c>
      <c r="N22" s="24" t="inlineStr">
        <is>
          <t>両家の窓口を本人に固定し、親同士の直接連絡を避ける</t>
        </is>
      </c>
      <c r="O22" s="39" t="inlineStr">
        <is>
          <t>2人</t>
        </is>
      </c>
      <c r="P22" s="39" t="inlineStr">
        <is>
          <t>月1回</t>
        </is>
      </c>
      <c r="Q22" s="38" t="inlineStr">
        <is>
          <t>未着手</t>
        </is>
      </c>
    </row>
    <row r="23">
      <c r="A23" s="42" t="inlineStr">
        <is>
          <t>R021</t>
        </is>
      </c>
      <c r="B23" s="42" t="inlineStr">
        <is>
          <t>P3</t>
        </is>
      </c>
      <c r="C23" s="42" t="inlineStr">
        <is>
          <t>手続き</t>
        </is>
      </c>
      <c r="D23" s="49" t="inlineStr">
        <is>
          <t>姓の選択に片方が納得しないまま進む</t>
        </is>
      </c>
      <c r="E23" s="45" t="inlineStr">
        <is>
          <t>「当然こちらの姓」という前提で話が進む</t>
        </is>
      </c>
      <c r="F23" s="45" t="inlineStr">
        <is>
          <t>改姓側が黙る／名義変更の話題で不機嫌になる</t>
        </is>
      </c>
      <c r="G23" s="45" t="inlineStr">
        <is>
          <t>改姓しない側：慣習だから当然。改姓側：自分だけが失うものがある</t>
        </is>
      </c>
      <c r="H23" s="38" t="n">
        <v>3</v>
      </c>
      <c r="I23" s="38" t="n">
        <v>3</v>
      </c>
      <c r="J23" s="42">
        <f>H23*I23</f>
        <v/>
      </c>
      <c r="K23" s="42">
        <f>IF(J23&gt;=16,"最優先",IF(J23&gt;=12,"高",IF(J23&gt;=6,"中","低")))</f>
        <v/>
      </c>
      <c r="L23" s="45" t="inlineStr">
        <is>
          <t>改姓の実務負担（20〜30件）とキャリア上の影響を具体的に書き出してから決める。通称使用の可否を勤務先に確認する</t>
        </is>
      </c>
      <c r="M23" s="45" t="inlineStr">
        <is>
          <t>名義変更の作業を2人で分担する。改姓側の負担を数字で認識し、他の家事分担で相殺する</t>
        </is>
      </c>
      <c r="N23" s="45" t="inlineStr">
        <is>
          <t>決めた後も、改姓側の負担を定期的に確認する</t>
        </is>
      </c>
      <c r="O23" s="42" t="inlineStr">
        <is>
          <t>2人</t>
        </is>
      </c>
      <c r="P23" s="42" t="inlineStr">
        <is>
          <t>月1回</t>
        </is>
      </c>
      <c r="Q23" s="38" t="inlineStr">
        <is>
          <t>未着手</t>
        </is>
      </c>
    </row>
    <row r="24">
      <c r="A24" s="39" t="inlineStr">
        <is>
          <t>R022</t>
        </is>
      </c>
      <c r="B24" s="39" t="inlineStr">
        <is>
          <t>P3</t>
        </is>
      </c>
      <c r="C24" s="39" t="inlineStr">
        <is>
          <t>意思決定</t>
        </is>
      </c>
      <c r="D24" s="50" t="inlineStr">
        <is>
          <t>プロポーズ・婚約指輪の期待値がずれる</t>
        </is>
      </c>
      <c r="E24" s="24" t="inlineStr">
        <is>
          <t>サプライズにしたい側と、実利を重視する側</t>
        </is>
      </c>
      <c r="F24" s="24" t="inlineStr">
        <is>
          <t>指輪の話題を避ける／SNSの投稿を見て不機嫌になる</t>
        </is>
      </c>
      <c r="G24" s="24" t="inlineStr">
        <is>
          <t>期待する側：ちゃんと大事にされたい。しない側：形式にお金をかける意味が分からない</t>
        </is>
      </c>
      <c r="H24" s="38" t="n">
        <v>3</v>
      </c>
      <c r="I24" s="38" t="n">
        <v>2</v>
      </c>
      <c r="J24" s="39">
        <f>H24*I24</f>
        <v/>
      </c>
      <c r="K24" s="39">
        <f>IF(J24&gt;=16,"最優先",IF(J24&gt;=12,"高",IF(J24&gt;=6,"中","低")))</f>
        <v/>
      </c>
      <c r="L24" s="24" t="inlineStr">
        <is>
          <t>何に価値を置くか（形式か実利か）を事前に軽く聞いておく</t>
        </is>
      </c>
      <c r="M24" s="24" t="inlineStr">
        <is>
          <t>後からでもリカバリーできる。記念日に別の形で埋める</t>
        </is>
      </c>
      <c r="N24" s="24" t="inlineStr">
        <is>
          <t>「言わないと分からない」を前提にした関係にする</t>
        </is>
      </c>
      <c r="O24" s="39" t="inlineStr">
        <is>
          <t>2人</t>
        </is>
      </c>
      <c r="P24" s="39" t="inlineStr">
        <is>
          <t>月1回</t>
        </is>
      </c>
      <c r="Q24" s="38" t="inlineStr">
        <is>
          <t>未着手</t>
        </is>
      </c>
    </row>
    <row r="25">
      <c r="A25" s="42" t="inlineStr">
        <is>
          <t>R023</t>
        </is>
      </c>
      <c r="B25" s="42" t="inlineStr">
        <is>
          <t>P3</t>
        </is>
      </c>
      <c r="C25" s="42" t="inlineStr">
        <is>
          <t>親族</t>
        </is>
      </c>
      <c r="D25" s="49" t="inlineStr">
        <is>
          <t>親からの援助の有無・金額で不公平感が生まれる</t>
        </is>
      </c>
      <c r="E25" s="45" t="inlineStr">
        <is>
          <t>片方の親だけが多く出す／出さない</t>
        </is>
      </c>
      <c r="F25" s="45" t="inlineStr">
        <is>
          <t>援助の話題で気まずくなる／親の口出しが増える</t>
        </is>
      </c>
      <c r="G25" s="45" t="inlineStr">
        <is>
          <t>多く出してもらった側：ありがたいが負い目。出せない側：肩身が狭い</t>
        </is>
      </c>
      <c r="H25" s="38" t="n">
        <v>3</v>
      </c>
      <c r="I25" s="38" t="n">
        <v>3</v>
      </c>
      <c r="J25" s="42">
        <f>H25*I25</f>
        <v/>
      </c>
      <c r="K25" s="42">
        <f>IF(J25&gt;=16,"最優先",IF(J25&gt;=12,"高",IF(J25&gt;=6,"中","低")))</f>
        <v/>
      </c>
      <c r="L25" s="45" t="inlineStr">
        <is>
          <t>各自が自分の実親に確認し、金額をオープンにする。援助額に応じて発言権が変わらないと先に合意する</t>
        </is>
      </c>
      <c r="M25" s="45" t="inlineStr">
        <is>
          <t>援助の使い道を明確にし、記録を残す。感謝は各自が自分の親に伝える</t>
        </is>
      </c>
      <c r="N25" s="45" t="inlineStr">
        <is>
          <t>援助を前提にしない予算を組んでおく</t>
        </is>
      </c>
      <c r="O25" s="42" t="inlineStr">
        <is>
          <t>2人</t>
        </is>
      </c>
      <c r="P25" s="42" t="inlineStr">
        <is>
          <t>月1回</t>
        </is>
      </c>
      <c r="Q25" s="38" t="inlineStr">
        <is>
          <t>未着手</t>
        </is>
      </c>
    </row>
    <row r="26">
      <c r="A26" s="39" t="inlineStr">
        <is>
          <t>R024</t>
        </is>
      </c>
      <c r="B26" s="39" t="inlineStr">
        <is>
          <t>P3</t>
        </is>
      </c>
      <c r="C26" s="39" t="inlineStr">
        <is>
          <t>意思決定</t>
        </is>
      </c>
      <c r="D26" s="50" t="inlineStr">
        <is>
          <t>子どもの人数・時期の希望が食い違ったまま結婚する</t>
        </is>
      </c>
      <c r="E26" s="24" t="inlineStr">
        <is>
          <t>「いつかは欲しい」で止まっている</t>
        </is>
      </c>
      <c r="F26" s="24" t="inlineStr">
        <is>
          <t>具体的な時期の話になると流される</t>
        </is>
      </c>
      <c r="G26" s="24" t="inlineStr">
        <is>
          <t>急ぎたい側：年齢が迫っている。急がない側：まだ2人の時間を楽しみたい</t>
        </is>
      </c>
      <c r="H26" s="38" t="n">
        <v>3</v>
      </c>
      <c r="I26" s="38" t="n">
        <v>5</v>
      </c>
      <c r="J26" s="39">
        <f>H26*I26</f>
        <v/>
      </c>
      <c r="K26" s="39">
        <f>IF(J26&gt;=16,"最優先",IF(J26&gt;=12,"高",IF(J26&gt;=6,"中","低")))</f>
        <v/>
      </c>
      <c r="L26" s="24" t="inlineStr">
        <is>
          <t>結婚後の生活方針の合意で、希望人数と目標時期を年で言語化する。年齢と妊娠率の資料を2人で見る</t>
        </is>
      </c>
      <c r="M26" s="24" t="inlineStr">
        <is>
          <t>改めて時間を取って話す。合意できないなら、その事実を認識したうえで進む</t>
        </is>
      </c>
      <c r="N26" s="24" t="inlineStr">
        <is>
          <t>年1回、希望と現実を突き合わせる</t>
        </is>
      </c>
      <c r="O26" s="39" t="inlineStr">
        <is>
          <t>2人</t>
        </is>
      </c>
      <c r="P26" s="39" t="inlineStr">
        <is>
          <t>月1回</t>
        </is>
      </c>
      <c r="Q26" s="38" t="inlineStr">
        <is>
          <t>未着手</t>
        </is>
      </c>
    </row>
    <row r="27">
      <c r="A27" s="42" t="inlineStr">
        <is>
          <t>R025</t>
        </is>
      </c>
      <c r="B27" s="42" t="inlineStr">
        <is>
          <t>P3</t>
        </is>
      </c>
      <c r="C27" s="42" t="inlineStr">
        <is>
          <t>コミュニケーション</t>
        </is>
      </c>
      <c r="D27" s="49" t="inlineStr">
        <is>
          <t>「どっちでもいい」が繰り返され、片方が全部決める</t>
        </is>
      </c>
      <c r="E27" s="45" t="inlineStr">
        <is>
          <t>決定事項が多く、片方が判断疲れする</t>
        </is>
      </c>
      <c r="F27" s="45" t="inlineStr">
        <is>
          <t>「決めておいて」が増える／後から文句が出る</t>
        </is>
      </c>
      <c r="G27" s="45" t="inlineStr">
        <is>
          <t>決める側：全部押し付けられている。任せる側：任せているのだから文句はない</t>
        </is>
      </c>
      <c r="H27" s="38" t="n">
        <v>4</v>
      </c>
      <c r="I27" s="38" t="n">
        <v>3</v>
      </c>
      <c r="J27" s="42">
        <f>H27*I27</f>
        <v/>
      </c>
      <c r="K27" s="42">
        <f>IF(J27&gt;=16,"最優先",IF(J27&gt;=12,"高",IF(J27&gt;=6,"中","低")))</f>
        <v/>
      </c>
      <c r="L27" s="45" t="inlineStr">
        <is>
          <t>「決めるのは2人、動くのは分担」を明文化する。選択肢を2〜3に絞って提示するルールにする</t>
        </is>
      </c>
      <c r="M27" s="45" t="inlineStr">
        <is>
          <t>決定を一旦保留し、選択肢を絞ってから2人で決め直す</t>
        </is>
      </c>
      <c r="N27" s="45" t="inlineStr">
        <is>
          <t>決定と実行を分けて記録する（誰が決めたか、誰が動いたか）</t>
        </is>
      </c>
      <c r="O27" s="42" t="inlineStr">
        <is>
          <t>2人</t>
        </is>
      </c>
      <c r="P27" s="42" t="inlineStr">
        <is>
          <t>月1回</t>
        </is>
      </c>
      <c r="Q27" s="38" t="inlineStr">
        <is>
          <t>未着手</t>
        </is>
      </c>
    </row>
    <row r="28">
      <c r="A28" s="39" t="inlineStr">
        <is>
          <t>R026</t>
        </is>
      </c>
      <c r="B28" s="39" t="inlineStr">
        <is>
          <t>P3</t>
        </is>
      </c>
      <c r="C28" s="39" t="inlineStr">
        <is>
          <t>親族</t>
        </is>
      </c>
      <c r="D28" s="50" t="inlineStr">
        <is>
          <t>顔合わせ・結納の費用負担で気まずくなる</t>
        </is>
      </c>
      <c r="E28" s="24" t="inlineStr">
        <is>
          <t>誰が払うか決めずに当日を迎える</t>
        </is>
      </c>
      <c r="F28" s="24" t="inlineStr">
        <is>
          <t>会計時に沈黙が生まれる</t>
        </is>
      </c>
      <c r="G28" s="24" t="inlineStr">
        <is>
          <t>どちらの家も：出すべきか、出すと角が立つか分からない</t>
        </is>
      </c>
      <c r="H28" s="38" t="n">
        <v>3</v>
      </c>
      <c r="I28" s="38" t="n">
        <v>2</v>
      </c>
      <c r="J28" s="39">
        <f>H28*I28</f>
        <v/>
      </c>
      <c r="K28" s="39">
        <f>IF(J28&gt;=16,"最優先",IF(J28&gt;=12,"高",IF(J28&gt;=6,"中","低")))</f>
        <v/>
      </c>
      <c r="L28" s="24" t="inlineStr">
        <is>
          <t>事前に費用負担を決めて、両家に伝えておく</t>
        </is>
      </c>
      <c r="M28" s="24" t="inlineStr">
        <is>
          <t>その場は本人たちが立て替え、後で精算する</t>
        </is>
      </c>
      <c r="N28" s="24" t="inlineStr">
        <is>
          <t>以降のイベントも事前に負担を決める型にする</t>
        </is>
      </c>
      <c r="O28" s="39" t="inlineStr">
        <is>
          <t>2人</t>
        </is>
      </c>
      <c r="P28" s="39" t="inlineStr">
        <is>
          <t>月1回</t>
        </is>
      </c>
      <c r="Q28" s="38" t="inlineStr">
        <is>
          <t>未着手</t>
        </is>
      </c>
    </row>
    <row r="29">
      <c r="A29" s="42" t="inlineStr">
        <is>
          <t>R027</t>
        </is>
      </c>
      <c r="B29" s="42" t="inlineStr">
        <is>
          <t>P3</t>
        </is>
      </c>
      <c r="C29" s="42" t="inlineStr">
        <is>
          <t>意思決定</t>
        </is>
      </c>
      <c r="D29" s="49" t="inlineStr">
        <is>
          <t>結婚式と妊活の順番を決めないまま両方が遅れる</t>
        </is>
      </c>
      <c r="E29" s="45" t="inlineStr">
        <is>
          <t>式の準備が長引き、妊活の開始が後ろにずれる</t>
        </is>
      </c>
      <c r="F29" s="45" t="inlineStr">
        <is>
          <t>「式が終わってから」が繰り返される</t>
        </is>
      </c>
      <c r="G29" s="45" t="inlineStr">
        <is>
          <t>式優先派：ドレスを着たい、妊娠中の式は避けたい。妊活優先派：年齢のリスクが上がる</t>
        </is>
      </c>
      <c r="H29" s="38" t="n">
        <v>3</v>
      </c>
      <c r="I29" s="38" t="n">
        <v>4</v>
      </c>
      <c r="J29" s="42">
        <f>H29*I29</f>
        <v/>
      </c>
      <c r="K29" s="42">
        <f>IF(J29&gt;=16,"最優先",IF(J29&gt;=12,"高",IF(J29&gt;=6,"中","低")))</f>
        <v/>
      </c>
      <c r="L29" s="45" t="inlineStr">
        <is>
          <t>式の日取りを決める段階で、妊活の開始月を同時に決める。年齢によっては並行を選ぶ</t>
        </is>
      </c>
      <c r="M29" s="45" t="inlineStr">
        <is>
          <t>式の規模を縮小するか、妊活を先に始める判断をする</t>
        </is>
      </c>
      <c r="N29" s="45" t="inlineStr">
        <is>
          <t>①ロードマップ上で両方の開始月を明示して管理する</t>
        </is>
      </c>
      <c r="O29" s="42" t="inlineStr">
        <is>
          <t>2人</t>
        </is>
      </c>
      <c r="P29" s="42" t="inlineStr">
        <is>
          <t>月1回</t>
        </is>
      </c>
      <c r="Q29" s="38" t="inlineStr">
        <is>
          <t>未着手</t>
        </is>
      </c>
    </row>
    <row r="30">
      <c r="A30" s="39" t="inlineStr">
        <is>
          <t>R028</t>
        </is>
      </c>
      <c r="B30" s="39" t="inlineStr">
        <is>
          <t>P3</t>
        </is>
      </c>
      <c r="C30" s="39" t="inlineStr">
        <is>
          <t>お金</t>
        </is>
      </c>
      <c r="D30" s="50" t="inlineStr">
        <is>
          <t>結婚費用で貯蓄が尽き、出産・育児資金が残らない</t>
        </is>
      </c>
      <c r="E30" s="24" t="inlineStr">
        <is>
          <t>式・指輪・旅行・引越しが重なる</t>
        </is>
      </c>
      <c r="F30" s="24" t="inlineStr">
        <is>
          <t>貯蓄残高が生活費3ヶ月分を切る</t>
        </is>
      </c>
      <c r="G30" s="24" t="inlineStr">
        <is>
          <t>使う側：一生に一度だから。心配する側：この後にもっとお金がかかる</t>
        </is>
      </c>
      <c r="H30" s="38" t="n">
        <v>3</v>
      </c>
      <c r="I30" s="38" t="n">
        <v>4</v>
      </c>
      <c r="J30" s="39">
        <f>H30*I30</f>
        <v/>
      </c>
      <c r="K30" s="39">
        <f>IF(J30&gt;=16,"最優先",IF(J30&gt;=12,"高",IF(J30&gt;=6,"中","低")))</f>
        <v/>
      </c>
      <c r="L30" s="24" t="inlineStr">
        <is>
          <t>3本立ての貯蓄（式・出産育児・生活防衛）を分けて管理し、出産育児分には手をつけないと決める</t>
        </is>
      </c>
      <c r="M30" s="24" t="inlineStr">
        <is>
          <t>式の項目を削減リストに従って落とす。旅行を国内・近距離に変える</t>
        </is>
      </c>
      <c r="N30" s="24" t="inlineStr">
        <is>
          <t>目的別口座を物理的に分けて、混ざらないようにする</t>
        </is>
      </c>
      <c r="O30" s="39" t="inlineStr">
        <is>
          <t>2人</t>
        </is>
      </c>
      <c r="P30" s="39" t="inlineStr">
        <is>
          <t>月1回</t>
        </is>
      </c>
      <c r="Q30" s="38" t="inlineStr">
        <is>
          <t>未着手</t>
        </is>
      </c>
    </row>
    <row r="31">
      <c r="A31" s="42" t="inlineStr">
        <is>
          <t>R029</t>
        </is>
      </c>
      <c r="B31" s="42" t="inlineStr">
        <is>
          <t>P4</t>
        </is>
      </c>
      <c r="C31" s="42" t="inlineStr">
        <is>
          <t>手続き</t>
        </is>
      </c>
      <c r="D31" s="49" t="inlineStr">
        <is>
          <t>名義変更の実務負担が改姓側に集中する</t>
        </is>
      </c>
      <c r="E31" s="45" t="inlineStr">
        <is>
          <t>20〜30件の手続きを片方が全部やる</t>
        </is>
      </c>
      <c r="F31" s="45" t="inlineStr">
        <is>
          <t>「私ばっかり手続きしてる」／手続きが止まる</t>
        </is>
      </c>
      <c r="G31" s="45" t="inlineStr">
        <is>
          <t>改姓側：時間も有給も自分だけが使っている。もう一方：自分にはできない手続きだから仕方ない</t>
        </is>
      </c>
      <c r="H31" s="38" t="n">
        <v>4</v>
      </c>
      <c r="I31" s="38" t="n">
        <v>2</v>
      </c>
      <c r="J31" s="42">
        <f>H31*I31</f>
        <v/>
      </c>
      <c r="K31" s="42">
        <f>IF(J31&gt;=16,"最優先",IF(J31&gt;=12,"高",IF(J31&gt;=6,"中","低")))</f>
        <v/>
      </c>
      <c r="L31" s="45" t="inlineStr">
        <is>
          <t>変更が必要な先を一覧化し、同行が必要なもの・代理でできるもの・オンラインで済むものに分けて分担する。2人とも有給を1日取る</t>
        </is>
      </c>
      <c r="M31" s="45" t="inlineStr">
        <is>
          <t>残りをリスト化して、非改姓側が調べ物・書類準備・同行を全部引き取る</t>
        </is>
      </c>
      <c r="N31" s="45" t="inlineStr">
        <is>
          <t>改姓側の負担時間を数字で出し、他の家事分担で相殺する</t>
        </is>
      </c>
      <c r="O31" s="42" t="inlineStr">
        <is>
          <t>2人</t>
        </is>
      </c>
      <c r="P31" s="42" t="inlineStr">
        <is>
          <t>月1回</t>
        </is>
      </c>
      <c r="Q31" s="38" t="inlineStr">
        <is>
          <t>未着手</t>
        </is>
      </c>
    </row>
    <row r="32">
      <c r="A32" s="39" t="inlineStr">
        <is>
          <t>R030</t>
        </is>
      </c>
      <c r="B32" s="39" t="inlineStr">
        <is>
          <t>P4</t>
        </is>
      </c>
      <c r="C32" s="39" t="inlineStr">
        <is>
          <t>手続き</t>
        </is>
      </c>
      <c r="D32" s="50" t="inlineStr">
        <is>
          <t>パスポートの氏名と航空券の名義が不一致で搭乗できない</t>
        </is>
      </c>
      <c r="E32" s="24" t="inlineStr">
        <is>
          <t>新婚旅行の予約を旧姓でしていた</t>
        </is>
      </c>
      <c r="F32" s="24" t="inlineStr">
        <is>
          <t>パスポートの変更が旅行直前になっている</t>
        </is>
      </c>
      <c r="G32" s="24" t="inlineStr">
        <is>
          <t>予約した側：気づかなかった。もう一方：一生に一度の旅行が台無し</t>
        </is>
      </c>
      <c r="H32" s="38" t="n">
        <v>2</v>
      </c>
      <c r="I32" s="38" t="n">
        <v>5</v>
      </c>
      <c r="J32" s="39">
        <f>H32*I32</f>
        <v/>
      </c>
      <c r="K32" s="39">
        <f>IF(J32&gt;=16,"最優先",IF(J32&gt;=12,"高",IF(J32&gt;=6,"中","低")))</f>
        <v/>
      </c>
      <c r="L32" s="24" t="inlineStr">
        <is>
          <t>旅行を予約する前にパスポートの氏名変更を完了させる。予約名義とパスポート表記の一致を目視で確認する</t>
        </is>
      </c>
      <c r="M32" s="24" t="inlineStr">
        <is>
          <t>航空会社に名義変更を相談する（不可のことが多い）。最悪、旧姓のパスポートが有効期限内なら使える場合がある</t>
        </is>
      </c>
      <c r="N32" s="24" t="inlineStr">
        <is>
          <t>海外渡航の予定があるときは、改姓手続きの最優先項目にする</t>
        </is>
      </c>
      <c r="O32" s="39" t="inlineStr">
        <is>
          <t>2人</t>
        </is>
      </c>
      <c r="P32" s="39" t="inlineStr">
        <is>
          <t>月1回</t>
        </is>
      </c>
      <c r="Q32" s="38" t="inlineStr">
        <is>
          <t>未着手</t>
        </is>
      </c>
    </row>
    <row r="33">
      <c r="A33" s="42" t="inlineStr">
        <is>
          <t>R031</t>
        </is>
      </c>
      <c r="B33" s="42" t="inlineStr">
        <is>
          <t>P4</t>
        </is>
      </c>
      <c r="C33" s="42" t="inlineStr">
        <is>
          <t>手続き</t>
        </is>
      </c>
      <c r="D33" s="49" t="inlineStr">
        <is>
          <t>生命保険の受取人が独身時代のままになっている</t>
        </is>
      </c>
      <c r="E33" s="45" t="inlineStr">
        <is>
          <t>手続きリストから漏れる</t>
        </is>
      </c>
      <c r="F33" s="45" t="inlineStr">
        <is>
          <t>受取人を誰にしているか即答できない</t>
        </is>
      </c>
      <c r="G33" s="45" t="inlineStr">
        <is>
          <t>どちらも：気づいていない</t>
        </is>
      </c>
      <c r="H33" s="38" t="n">
        <v>4</v>
      </c>
      <c r="I33" s="38" t="n">
        <v>3</v>
      </c>
      <c r="J33" s="42">
        <f>H33*I33</f>
        <v/>
      </c>
      <c r="K33" s="42">
        <f>IF(J33&gt;=16,"最優先",IF(J33&gt;=12,"高",IF(J33&gt;=6,"中","低")))</f>
        <v/>
      </c>
      <c r="L33" s="45" t="inlineStr">
        <is>
          <t>名義変更リストに「保険の受取人変更」を独立項目として入れる</t>
        </is>
      </c>
      <c r="M33" s="45" t="inlineStr">
        <is>
          <t>気づいた時点で全契約の受取人を確認して変更する</t>
        </is>
      </c>
      <c r="N33" s="45" t="inlineStr">
        <is>
          <t>出産後にも再度確認する（子を受取人に加えるか）</t>
        </is>
      </c>
      <c r="O33" s="42" t="inlineStr">
        <is>
          <t>2人</t>
        </is>
      </c>
      <c r="P33" s="42" t="inlineStr">
        <is>
          <t>月1回</t>
        </is>
      </c>
      <c r="Q33" s="38" t="inlineStr">
        <is>
          <t>未着手</t>
        </is>
      </c>
    </row>
    <row r="34">
      <c r="A34" s="39" t="inlineStr">
        <is>
          <t>R032</t>
        </is>
      </c>
      <c r="B34" s="39" t="inlineStr">
        <is>
          <t>P4</t>
        </is>
      </c>
      <c r="C34" s="39" t="inlineStr">
        <is>
          <t>お金</t>
        </is>
      </c>
      <c r="D34" s="50" t="inlineStr">
        <is>
          <t>扶養や社会保険の判断を誤り、手取りが想定と違う</t>
        </is>
      </c>
      <c r="E34" s="24" t="inlineStr">
        <is>
          <t>扶養に入る／入らないの判断</t>
        </is>
      </c>
      <c r="F34" s="24" t="inlineStr">
        <is>
          <t>給与明細の手取りが想定と違う</t>
        </is>
      </c>
      <c r="G34" s="24" t="inlineStr">
        <is>
          <t>どちらも：制度が複雑で判断できていない</t>
        </is>
      </c>
      <c r="H34" s="38" t="n">
        <v>2</v>
      </c>
      <c r="I34" s="38" t="n">
        <v>3</v>
      </c>
      <c r="J34" s="39">
        <f>H34*I34</f>
        <v/>
      </c>
      <c r="K34" s="39">
        <f>IF(J34&gt;=16,"最優先",IF(J34&gt;=12,"高",IF(J34&gt;=6,"中","低")))</f>
        <v/>
      </c>
      <c r="L34" s="24" t="inlineStr">
        <is>
          <t>扶養に入る場合の年収の壁と、社会保険の加入条件を人事に確認してから決める</t>
        </is>
      </c>
      <c r="M34" s="24" t="inlineStr">
        <is>
          <t>人事と年金事務所に確認して修正する。遡及できる場合がある</t>
        </is>
      </c>
      <c r="N34" s="24" t="inlineStr">
        <is>
          <t>収入が変わるたびに確認する</t>
        </is>
      </c>
      <c r="O34" s="39" t="inlineStr">
        <is>
          <t>2人</t>
        </is>
      </c>
      <c r="P34" s="39" t="inlineStr">
        <is>
          <t>月1回</t>
        </is>
      </c>
      <c r="Q34" s="38" t="inlineStr">
        <is>
          <t>未着手</t>
        </is>
      </c>
    </row>
    <row r="35">
      <c r="A35" s="42" t="inlineStr">
        <is>
          <t>R033</t>
        </is>
      </c>
      <c r="B35" s="42" t="inlineStr">
        <is>
          <t>P4</t>
        </is>
      </c>
      <c r="C35" s="42" t="inlineStr">
        <is>
          <t>手続き</t>
        </is>
      </c>
      <c r="D35" s="49" t="inlineStr">
        <is>
          <t>会社の結婚祝金・慶弔金を申請し忘れる</t>
        </is>
      </c>
      <c r="E35" s="45" t="inlineStr">
        <is>
          <t>申請制なので黙っていると出ない</t>
        </is>
      </c>
      <c r="F35" s="45" t="inlineStr">
        <is>
          <t>同僚は貰っているのに自分は貰っていない</t>
        </is>
      </c>
      <c r="G35" s="45" t="inlineStr">
        <is>
          <t>どちらも：制度を知らなかった</t>
        </is>
      </c>
      <c r="H35" s="38" t="n">
        <v>3</v>
      </c>
      <c r="I35" s="38" t="n">
        <v>1</v>
      </c>
      <c r="J35" s="42">
        <f>H35*I35</f>
        <v/>
      </c>
      <c r="K35" s="42">
        <f>IF(J35&gt;=16,"最優先",IF(J35&gt;=12,"高",IF(J35&gt;=6,"中","低")))</f>
        <v/>
      </c>
      <c r="L35" s="45" t="inlineStr">
        <is>
          <t>就業規則の慶弔規程を読み、申請期限を確認する</t>
        </is>
      </c>
      <c r="M35" s="45" t="inlineStr">
        <is>
          <t>期限内なら遡って申請する</t>
        </is>
      </c>
      <c r="N35" s="45" t="inlineStr">
        <is>
          <t>出産時にも同じ確認をする（出産祝金がある会社が多い）</t>
        </is>
      </c>
      <c r="O35" s="42" t="inlineStr">
        <is>
          <t>2人</t>
        </is>
      </c>
      <c r="P35" s="42" t="inlineStr">
        <is>
          <t>月1回</t>
        </is>
      </c>
      <c r="Q35" s="38" t="inlineStr">
        <is>
          <t>未着手</t>
        </is>
      </c>
    </row>
    <row r="36">
      <c r="A36" s="39" t="inlineStr">
        <is>
          <t>R034</t>
        </is>
      </c>
      <c r="B36" s="39" t="inlineStr">
        <is>
          <t>P5</t>
        </is>
      </c>
      <c r="C36" s="39" t="inlineStr">
        <is>
          <t>お金</t>
        </is>
      </c>
      <c r="D36" s="50" t="inlineStr">
        <is>
          <t>初回見積から100万円以上増えて、費用で揉める</t>
        </is>
      </c>
      <c r="E36" s="24" t="inlineStr">
        <is>
          <t>装花・写真・衣装・演出のランクアップが積み上がる</t>
        </is>
      </c>
      <c r="F36" s="24" t="inlineStr">
        <is>
          <t>見積の改訂版を2人で見ていない／片方だけが打ち合わせに行っている</t>
        </is>
      </c>
      <c r="G36" s="24" t="inlineStr">
        <is>
          <t>増やす側：後悔したくない。抑える側：際限がない</t>
        </is>
      </c>
      <c r="H36" s="38" t="n">
        <v>5</v>
      </c>
      <c r="I36" s="38" t="n">
        <v>3</v>
      </c>
      <c r="J36" s="39">
        <f>H36*I36</f>
        <v/>
      </c>
      <c r="K36" s="39">
        <f>IF(J36&gt;=16,"最優先",IF(J36&gt;=12,"高",IF(J36&gt;=6,"中","低")))</f>
        <v/>
      </c>
      <c r="L36" s="24" t="inlineStr">
        <is>
          <t>上限額と、超えたときに削る項目の優先順位を先に紙で決める。見積は改訂のたびに2人で確認する</t>
        </is>
      </c>
      <c r="M36" s="24" t="inlineStr">
        <is>
          <t>削る優先順位表に従って機械的に落とす。その場で判断せず持ち帰る</t>
        </is>
      </c>
      <c r="N36" s="24" t="inlineStr">
        <is>
          <t>打ち合わせは必ず2人で行くか、行けない場合は録音・共有する</t>
        </is>
      </c>
      <c r="O36" s="39" t="inlineStr">
        <is>
          <t>2人</t>
        </is>
      </c>
      <c r="P36" s="39" t="inlineStr">
        <is>
          <t>月1回</t>
        </is>
      </c>
      <c r="Q36" s="38" t="inlineStr">
        <is>
          <t>未着手</t>
        </is>
      </c>
    </row>
    <row r="37">
      <c r="A37" s="42" t="inlineStr">
        <is>
          <t>R035</t>
        </is>
      </c>
      <c r="B37" s="42" t="inlineStr">
        <is>
          <t>P5</t>
        </is>
      </c>
      <c r="C37" s="42" t="inlineStr">
        <is>
          <t>家事</t>
        </is>
      </c>
      <c r="D37" s="49" t="inlineStr">
        <is>
          <t>準備タスクが片方に偏り、もう片方が「丸投げ」と見なされる</t>
        </is>
      </c>
      <c r="E37" s="45" t="inlineStr">
        <is>
          <t>打ち合わせ・小物作り・招待客の管理が一人に集中</t>
        </is>
      </c>
      <c r="F37" s="45" t="inlineStr">
        <is>
          <t>「相談しても“いいよ”しか言わない」／準備の話をしなくなる</t>
        </is>
      </c>
      <c r="G37" s="45" t="inlineStr">
        <is>
          <t>動く側：一人でやっている。任せる側：センスがないから任せているだけ、聞かれれば答える</t>
        </is>
      </c>
      <c r="H37" s="38" t="n">
        <v>5</v>
      </c>
      <c r="I37" s="38" t="n">
        <v>4</v>
      </c>
      <c r="J37" s="42">
        <f>H37*I37</f>
        <v/>
      </c>
      <c r="K37" s="42">
        <f>IF(J37&gt;=16,"最優先",IF(J37&gt;=12,"高",IF(J37&gt;=6,"中","低")))</f>
        <v/>
      </c>
      <c r="L37" s="45" t="inlineStr">
        <is>
          <t>準備タスクを全部書き出し、領域ごと（写真・BGM・二次会など）にオーナーを渡す。週次で進捗を見る</t>
        </is>
      </c>
      <c r="M37" s="45" t="inlineStr">
        <is>
          <t>残タスクを棚卸しして再配分する。「手伝う」ではなく担当を持たせる</t>
        </is>
      </c>
      <c r="N37" s="45" t="inlineStr">
        <is>
          <t>決定と実行を分けて記録し、実行の偏りを可視化する</t>
        </is>
      </c>
      <c r="O37" s="42" t="inlineStr">
        <is>
          <t>2人</t>
        </is>
      </c>
      <c r="P37" s="42" t="inlineStr">
        <is>
          <t>月1回</t>
        </is>
      </c>
      <c r="Q37" s="38" t="inlineStr">
        <is>
          <t>未着手</t>
        </is>
      </c>
    </row>
    <row r="38">
      <c r="A38" s="39" t="inlineStr">
        <is>
          <t>R036</t>
        </is>
      </c>
      <c r="B38" s="39" t="inlineStr">
        <is>
          <t>P5</t>
        </is>
      </c>
      <c r="C38" s="39" t="inlineStr">
        <is>
          <t>親族</t>
        </is>
      </c>
      <c r="D38" s="50" t="inlineStr">
        <is>
          <t>招待客リストで両家が揉める</t>
        </is>
      </c>
      <c r="E38" s="24" t="inlineStr">
        <is>
          <t>人数バランス、職場の呼び方、親の希望</t>
        </is>
      </c>
      <c r="F38" s="24" t="inlineStr">
        <is>
          <t>リストの提出が遅れる／親から追加要望が来る</t>
        </is>
      </c>
      <c r="G38" s="24" t="inlineStr">
        <is>
          <t>多く呼びたい側：義理を欠けない。少なくしたい側：費用と関係性が釣り合わない</t>
        </is>
      </c>
      <c r="H38" s="38" t="n">
        <v>4</v>
      </c>
      <c r="I38" s="38" t="n">
        <v>3</v>
      </c>
      <c r="J38" s="39">
        <f>H38*I38</f>
        <v/>
      </c>
      <c r="K38" s="39">
        <f>IF(J38&gt;=16,"最優先",IF(J38&gt;=12,"高",IF(J38&gt;=6,"中","低")))</f>
        <v/>
      </c>
      <c r="L38" s="24" t="inlineStr">
        <is>
          <t>「誰を呼ぶかは各自が自分の側を決め、人数だけ揃える」方式にする。親の希望枠を最初から確保しておく</t>
        </is>
      </c>
      <c r="M38" s="24" t="inlineStr">
        <is>
          <t>人数上限の中で各自が調整する。相手の側のリストに口を出さない</t>
        </is>
      </c>
      <c r="N38" s="24" t="inlineStr">
        <is>
          <t>以降のイベントも同じ方式（自分の側は自分が決める）で運用する</t>
        </is>
      </c>
      <c r="O38" s="39" t="inlineStr">
        <is>
          <t>2人</t>
        </is>
      </c>
      <c r="P38" s="39" t="inlineStr">
        <is>
          <t>月1回</t>
        </is>
      </c>
      <c r="Q38" s="38" t="inlineStr">
        <is>
          <t>未着手</t>
        </is>
      </c>
    </row>
    <row r="39">
      <c r="A39" s="42" t="inlineStr">
        <is>
          <t>R037</t>
        </is>
      </c>
      <c r="B39" s="42" t="inlineStr">
        <is>
          <t>P5</t>
        </is>
      </c>
      <c r="C39" s="42" t="inlineStr">
        <is>
          <t>健康</t>
        </is>
      </c>
      <c r="D39" s="49" t="inlineStr">
        <is>
          <t>マリッジブルー・直前期の疲弊で喧嘩が増える</t>
        </is>
      </c>
      <c r="E39" s="45" t="inlineStr">
        <is>
          <t>仕事と準備の並行、睡眠不足</t>
        </is>
      </c>
      <c r="F39" s="45" t="inlineStr">
        <is>
          <t>些細なことで泣く／式をやめたいと言い出す</t>
        </is>
      </c>
      <c r="G39" s="45" t="inlineStr">
        <is>
          <t>つらい側：誰も分かってくれない。もう一方：なぜ今さら</t>
        </is>
      </c>
      <c r="H39" s="38" t="n">
        <v>3</v>
      </c>
      <c r="I39" s="38" t="n">
        <v>3</v>
      </c>
      <c r="J39" s="42">
        <f>H39*I39</f>
        <v/>
      </c>
      <c r="K39" s="42">
        <f>IF(J39&gt;=16,"最優先",IF(J39&gt;=12,"高",IF(J39&gt;=6,"中","低")))</f>
        <v/>
      </c>
      <c r="L39" s="45" t="inlineStr">
        <is>
          <t>式の1ヶ月前は準備タスクを入れない（バッファ期間にする）。有給を計画的に取る</t>
        </is>
      </c>
      <c r="M39" s="45" t="inlineStr">
        <is>
          <t>一旦準備を止めて2人で休む。決断を先送りしてよい項目を切り分ける</t>
        </is>
      </c>
      <c r="N39" s="45" t="inlineStr">
        <is>
          <t>スケジュールにバッファを組み込む習慣にする</t>
        </is>
      </c>
      <c r="O39" s="42" t="inlineStr">
        <is>
          <t>2人</t>
        </is>
      </c>
      <c r="P39" s="42" t="inlineStr">
        <is>
          <t>月1回</t>
        </is>
      </c>
      <c r="Q39" s="38" t="inlineStr">
        <is>
          <t>未着手</t>
        </is>
      </c>
    </row>
    <row r="40">
      <c r="A40" s="39" t="inlineStr">
        <is>
          <t>R038</t>
        </is>
      </c>
      <c r="B40" s="39" t="inlineStr">
        <is>
          <t>P5</t>
        </is>
      </c>
      <c r="C40" s="39" t="inlineStr">
        <is>
          <t>親族</t>
        </is>
      </c>
      <c r="D40" s="50" t="inlineStr">
        <is>
          <t>親の介入（席次・招待・演出）で本人の希望が通らない</t>
        </is>
      </c>
      <c r="E40" s="24" t="inlineStr">
        <is>
          <t>「これは親戚の手前できない」</t>
        </is>
      </c>
      <c r="F40" s="24" t="inlineStr">
        <is>
          <t>決めたことが親の一言で覆る</t>
        </is>
      </c>
      <c r="G40" s="24" t="inlineStr">
        <is>
          <t>親を立てたい側：後で角が立つ。本人の希望を通したい側：誰の式なのか</t>
        </is>
      </c>
      <c r="H40" s="38" t="n">
        <v>3</v>
      </c>
      <c r="I40" s="38" t="n">
        <v>3</v>
      </c>
      <c r="J40" s="39">
        <f>H40*I40</f>
        <v/>
      </c>
      <c r="K40" s="39">
        <f>IF(J40&gt;=16,"最優先",IF(J40&gt;=12,"高",IF(J40&gt;=6,"中","低")))</f>
        <v/>
      </c>
      <c r="L40" s="24" t="inlineStr">
        <is>
          <t>親に確認する項目（席次・肩書き・引出物・地域の慣習）と、本人が決める項目を先に線引きする</t>
        </is>
      </c>
      <c r="M40" s="24" t="inlineStr">
        <is>
          <t>本人同士で決めた線引きに戻る。親への説明は各自が自分の親に行う</t>
        </is>
      </c>
      <c r="N40" s="24" t="inlineStr">
        <is>
          <t>以降のイベントでも同じ線引きを使う</t>
        </is>
      </c>
      <c r="O40" s="39" t="inlineStr">
        <is>
          <t>2人</t>
        </is>
      </c>
      <c r="P40" s="39" t="inlineStr">
        <is>
          <t>月1回</t>
        </is>
      </c>
      <c r="Q40" s="38" t="inlineStr">
        <is>
          <t>未着手</t>
        </is>
      </c>
    </row>
    <row r="41">
      <c r="A41" s="42" t="inlineStr">
        <is>
          <t>R039</t>
        </is>
      </c>
      <c r="B41" s="42" t="inlineStr">
        <is>
          <t>P5</t>
        </is>
      </c>
      <c r="C41" s="42" t="inlineStr">
        <is>
          <t>お金</t>
        </is>
      </c>
      <c r="D41" s="49" t="inlineStr">
        <is>
          <t>キャンセル・延期の規定を確認せずに成約する</t>
        </is>
      </c>
      <c r="E41" s="45" t="inlineStr">
        <is>
          <t>成約後に日程変更や中止の必要が出る</t>
        </is>
      </c>
      <c r="F41" s="45" t="inlineStr">
        <is>
          <t>契約書のキャンセル条項を読んでいない</t>
        </is>
      </c>
      <c r="G41" s="45" t="inlineStr">
        <is>
          <t>どちらも：まさか中止することはないと思っている</t>
        </is>
      </c>
      <c r="H41" s="38" t="n">
        <v>2</v>
      </c>
      <c r="I41" s="38" t="n">
        <v>4</v>
      </c>
      <c r="J41" s="42">
        <f>H41*I41</f>
        <v/>
      </c>
      <c r="K41" s="42">
        <f>IF(J41&gt;=16,"最優先",IF(J41&gt;=12,"高",IF(J41&gt;=6,"中","低")))</f>
        <v/>
      </c>
      <c r="L41" s="45" t="inlineStr">
        <is>
          <t>成約前にキャンセル料の発生時期と金額を確認し、2人で読む</t>
        </is>
      </c>
      <c r="M41" s="45" t="inlineStr">
        <is>
          <t>規定を確認したうえで、延期と中止のどちらが損失が小さいか計算する</t>
        </is>
      </c>
      <c r="N41" s="45" t="inlineStr">
        <is>
          <t>大きな契約は必ずキャンセル条項を読んでから署名する運用にする</t>
        </is>
      </c>
      <c r="O41" s="42" t="inlineStr">
        <is>
          <t>2人</t>
        </is>
      </c>
      <c r="P41" s="42" t="inlineStr">
        <is>
          <t>月1回</t>
        </is>
      </c>
      <c r="Q41" s="38" t="inlineStr">
        <is>
          <t>未着手</t>
        </is>
      </c>
    </row>
    <row r="42">
      <c r="A42" s="39" t="inlineStr">
        <is>
          <t>R040</t>
        </is>
      </c>
      <c r="B42" s="39" t="inlineStr">
        <is>
          <t>P5</t>
        </is>
      </c>
      <c r="C42" s="39" t="inlineStr">
        <is>
          <t>意思決定</t>
        </is>
      </c>
      <c r="D42" s="50" t="inlineStr">
        <is>
          <t>衣装・写真の持ち込み料で想定外の出費が出る</t>
        </is>
      </c>
      <c r="E42" s="24" t="inlineStr">
        <is>
          <t>外部で気に入った物を見つけてから持ち込み料を知る</t>
        </is>
      </c>
      <c r="F42" s="24" t="inlineStr">
        <is>
          <t>持ち込み料の話が見積に出てこない</t>
        </is>
      </c>
      <c r="G42" s="24" t="inlineStr">
        <is>
          <t>外注したい側：クオリティを取りたい。抑えたい側：結局高くつく</t>
        </is>
      </c>
      <c r="H42" s="38" t="n">
        <v>3</v>
      </c>
      <c r="I42" s="38" t="n">
        <v>2</v>
      </c>
      <c r="J42" s="39">
        <f>H42*I42</f>
        <v/>
      </c>
      <c r="K42" s="39">
        <f>IF(J42&gt;=16,"最優先",IF(J42&gt;=12,"高",IF(J42&gt;=6,"中","低")))</f>
        <v/>
      </c>
      <c r="L42" s="24" t="inlineStr">
        <is>
          <t>見学時に持ち込み料の有無と金額を必ず質問する。提携との総額比較をする</t>
        </is>
      </c>
      <c r="M42" s="24" t="inlineStr">
        <is>
          <t>総額で比較し直して決める</t>
        </is>
      </c>
      <c r="N42" s="24" t="inlineStr">
        <is>
          <t>「持ち込み料込みの総額」で常に比較する</t>
        </is>
      </c>
      <c r="O42" s="39" t="inlineStr">
        <is>
          <t>2人</t>
        </is>
      </c>
      <c r="P42" s="39" t="inlineStr">
        <is>
          <t>月1回</t>
        </is>
      </c>
      <c r="Q42" s="38" t="inlineStr">
        <is>
          <t>未着手</t>
        </is>
      </c>
    </row>
    <row r="43">
      <c r="A43" s="42" t="inlineStr">
        <is>
          <t>R041</t>
        </is>
      </c>
      <c r="B43" s="42" t="inlineStr">
        <is>
          <t>P5</t>
        </is>
      </c>
      <c r="C43" s="42" t="inlineStr">
        <is>
          <t>時間</t>
        </is>
      </c>
      <c r="D43" s="49" t="inlineStr">
        <is>
          <t>打ち合わせが平日昼で、片方しか行けない</t>
        </is>
      </c>
      <c r="E43" s="45" t="inlineStr">
        <is>
          <t>会場の打ち合わせが平日に設定される</t>
        </is>
      </c>
      <c r="F43" s="45" t="inlineStr">
        <is>
          <t>決定事項が片方の判断で進む</t>
        </is>
      </c>
      <c r="G43" s="45" t="inlineStr">
        <is>
          <t>行く側：自分が全部決めている。行けない側：知らないうちに決まっている</t>
        </is>
      </c>
      <c r="H43" s="38" t="n">
        <v>4</v>
      </c>
      <c r="I43" s="38" t="n">
        <v>3</v>
      </c>
      <c r="J43" s="42">
        <f>H43*I43</f>
        <v/>
      </c>
      <c r="K43" s="42">
        <f>IF(J43&gt;=16,"最優先",IF(J43&gt;=12,"高",IF(J43&gt;=6,"中","低")))</f>
        <v/>
      </c>
      <c r="L43" s="45" t="inlineStr">
        <is>
          <t>打ち合わせを土日か夜に設定できるか会場に確認する。無理なら録音と議事メモを共有する</t>
        </is>
      </c>
      <c r="M43" s="45" t="inlineStr">
        <is>
          <t>決定事項を持ち帰って2人で確認する時間を必ず取る</t>
        </is>
      </c>
      <c r="N43" s="45" t="inlineStr">
        <is>
          <t>「その場で即決しない」をルールにする</t>
        </is>
      </c>
      <c r="O43" s="42" t="inlineStr">
        <is>
          <t>2人</t>
        </is>
      </c>
      <c r="P43" s="42" t="inlineStr">
        <is>
          <t>月1回</t>
        </is>
      </c>
      <c r="Q43" s="38" t="inlineStr">
        <is>
          <t>未着手</t>
        </is>
      </c>
    </row>
    <row r="44">
      <c r="A44" s="39" t="inlineStr">
        <is>
          <t>R042</t>
        </is>
      </c>
      <c r="B44" s="39" t="inlineStr">
        <is>
          <t>P5</t>
        </is>
      </c>
      <c r="C44" s="39" t="inlineStr">
        <is>
          <t>コミュニケーション</t>
        </is>
      </c>
      <c r="D44" s="50" t="inlineStr">
        <is>
          <t>スケジュールの共有ができておらず、ダブルブッキングする</t>
        </is>
      </c>
      <c r="E44" s="24" t="inlineStr">
        <is>
          <t>試着・打ち合わせ・友人との予定が重なる</t>
        </is>
      </c>
      <c r="F44" s="24" t="inlineStr">
        <is>
          <t>予定を直前に知らされる</t>
        </is>
      </c>
      <c r="G44" s="24" t="inlineStr">
        <is>
          <t>入れた側：伝えたつもり。知らない側：勝手に決められた</t>
        </is>
      </c>
      <c r="H44" s="38" t="n">
        <v>3</v>
      </c>
      <c r="I44" s="38" t="n">
        <v>2</v>
      </c>
      <c r="J44" s="39">
        <f>H44*I44</f>
        <v/>
      </c>
      <c r="K44" s="39">
        <f>IF(J44&gt;=16,"最優先",IF(J44&gt;=12,"高",IF(J44&gt;=6,"中","低")))</f>
        <v/>
      </c>
      <c r="L44" s="24" t="inlineStr">
        <is>
          <t>共有カレンダーに式関連の予定を全部入れる</t>
        </is>
      </c>
      <c r="M44" s="24" t="inlineStr">
        <is>
          <t>共有カレンダーに入っていない予定は無効というルールにする</t>
        </is>
      </c>
      <c r="N44" s="24" t="inlineStr">
        <is>
          <t>以降の通院・健診も同じカレンダーで管理する</t>
        </is>
      </c>
      <c r="O44" s="39" t="inlineStr">
        <is>
          <t>2人</t>
        </is>
      </c>
      <c r="P44" s="39" t="inlineStr">
        <is>
          <t>月1回</t>
        </is>
      </c>
      <c r="Q44" s="38" t="inlineStr">
        <is>
          <t>未着手</t>
        </is>
      </c>
    </row>
    <row r="45">
      <c r="A45" s="42" t="inlineStr">
        <is>
          <t>R043</t>
        </is>
      </c>
      <c r="B45" s="42" t="inlineStr">
        <is>
          <t>P5</t>
        </is>
      </c>
      <c r="C45" s="42" t="inlineStr">
        <is>
          <t>健康</t>
        </is>
      </c>
      <c r="D45" s="49" t="inlineStr">
        <is>
          <t>ダイエット・美容のプレッシャーで体調を崩す</t>
        </is>
      </c>
      <c r="E45" s="45" t="inlineStr">
        <is>
          <t>ドレスに合わせた過度な減量</t>
        </is>
      </c>
      <c r="F45" s="45" t="inlineStr">
        <is>
          <t>食事を極端に減らす／体調不良</t>
        </is>
      </c>
      <c r="G45" s="45" t="inlineStr">
        <is>
          <t>本人：綺麗でいたい。もう一方：健康のほうが大事</t>
        </is>
      </c>
      <c r="H45" s="38" t="n">
        <v>3</v>
      </c>
      <c r="I45" s="38" t="n">
        <v>3</v>
      </c>
      <c r="J45" s="42">
        <f>H45*I45</f>
        <v/>
      </c>
      <c r="K45" s="42">
        <f>IF(J45&gt;=16,"最優先",IF(J45&gt;=12,"高",IF(J45&gt;=6,"中","低")))</f>
        <v/>
      </c>
      <c r="L45" s="45" t="inlineStr">
        <is>
          <t>妊活を控えている場合、極端な減量は妊娠しにくさにつながることを共有する。BMI 18.5を下回らない</t>
        </is>
      </c>
      <c r="M45" s="45" t="inlineStr">
        <is>
          <t>衣装のサイズ直しで対応する。減量を止める</t>
        </is>
      </c>
      <c r="N45" s="45" t="inlineStr">
        <is>
          <t>妊活の開始時期が近いなら、体づくりの方針を優先する</t>
        </is>
      </c>
      <c r="O45" s="42" t="inlineStr">
        <is>
          <t>2人</t>
        </is>
      </c>
      <c r="P45" s="42" t="inlineStr">
        <is>
          <t>月1回</t>
        </is>
      </c>
      <c r="Q45" s="38" t="inlineStr">
        <is>
          <t>未着手</t>
        </is>
      </c>
    </row>
    <row r="46">
      <c r="A46" s="39" t="inlineStr">
        <is>
          <t>R044</t>
        </is>
      </c>
      <c r="B46" s="39" t="inlineStr">
        <is>
          <t>P5</t>
        </is>
      </c>
      <c r="C46" s="39" t="inlineStr">
        <is>
          <t>お金</t>
        </is>
      </c>
      <c r="D46" s="50" t="inlineStr">
        <is>
          <t>ご祝儀を当てにした資金計画が崩れる</t>
        </is>
      </c>
      <c r="E46" s="24" t="inlineStr">
        <is>
          <t>式費用が前払い、ご祝儀は後払い</t>
        </is>
      </c>
      <c r="F46" s="24" t="inlineStr">
        <is>
          <t>支払い時期に現金が足りない</t>
        </is>
      </c>
      <c r="G46" s="24" t="inlineStr">
        <is>
          <t>計画した側：後で戻ってくる。心配する側：一時的に数百万円が出ていく</t>
        </is>
      </c>
      <c r="H46" s="38" t="n">
        <v>3</v>
      </c>
      <c r="I46" s="38" t="n">
        <v>3</v>
      </c>
      <c r="J46" s="39">
        <f>H46*I46</f>
        <v/>
      </c>
      <c r="K46" s="39">
        <f>IF(J46&gt;=16,"最優先",IF(J46&gt;=12,"高",IF(J46&gt;=6,"中","低")))</f>
        <v/>
      </c>
      <c r="L46" s="24" t="inlineStr">
        <is>
          <t>支払いのタイミングを会場に確認し、資金繰り表を作る。ご祝儀を当てにしない現金を用意する</t>
        </is>
      </c>
      <c r="M46" s="24" t="inlineStr">
        <is>
          <t>クレジットカード払い・ブライダルローンを検討する。ただし金利を確認する</t>
        </is>
      </c>
      <c r="N46" s="24" t="inlineStr">
        <is>
          <t>以降も「入金と支払いの時期のズレ」を必ず表にする</t>
        </is>
      </c>
      <c r="O46" s="39" t="inlineStr">
        <is>
          <t>2人</t>
        </is>
      </c>
      <c r="P46" s="39" t="inlineStr">
        <is>
          <t>月1回</t>
        </is>
      </c>
      <c r="Q46" s="38" t="inlineStr">
        <is>
          <t>未着手</t>
        </is>
      </c>
    </row>
    <row r="47">
      <c r="A47" s="42" t="inlineStr">
        <is>
          <t>R045</t>
        </is>
      </c>
      <c r="B47" s="42" t="inlineStr">
        <is>
          <t>P5</t>
        </is>
      </c>
      <c r="C47" s="42" t="inlineStr">
        <is>
          <t>コミュニケーション</t>
        </is>
      </c>
      <c r="D47" s="49" t="inlineStr">
        <is>
          <t>余興・スピーチを依頼された友人との関係が悪くなる</t>
        </is>
      </c>
      <c r="E47" s="45" t="inlineStr">
        <is>
          <t>依頼が直前／内容の要求が細かい</t>
        </is>
      </c>
      <c r="F47" s="45" t="inlineStr">
        <is>
          <t>友人からの返信が遅い</t>
        </is>
      </c>
      <c r="G47" s="45" t="inlineStr">
        <is>
          <t>依頼側：断られると思っていない。受けた側：負担が大きい</t>
        </is>
      </c>
      <c r="H47" s="38" t="n">
        <v>2</v>
      </c>
      <c r="I47" s="38" t="n">
        <v>2</v>
      </c>
      <c r="J47" s="42">
        <f>H47*I47</f>
        <v/>
      </c>
      <c r="K47" s="42">
        <f>IF(J47&gt;=16,"最優先",IF(J47&gt;=12,"高",IF(J47&gt;=6,"中","低")))</f>
        <v/>
      </c>
      <c r="L47" s="45" t="inlineStr">
        <is>
          <t>3ヶ月前までに依頼し、断りやすい聞き方をする。内容は任せる</t>
        </is>
      </c>
      <c r="M47" s="45" t="inlineStr">
        <is>
          <t>無理そうなら他の形（コメント動画など）に切り替える</t>
        </is>
      </c>
      <c r="N47" s="45" t="inlineStr">
        <is>
          <t>人に頼む項目を最小限にする</t>
        </is>
      </c>
      <c r="O47" s="42" t="inlineStr">
        <is>
          <t>2人</t>
        </is>
      </c>
      <c r="P47" s="42" t="inlineStr">
        <is>
          <t>月1回</t>
        </is>
      </c>
      <c r="Q47" s="38" t="inlineStr">
        <is>
          <t>未着手</t>
        </is>
      </c>
    </row>
    <row r="48">
      <c r="A48" s="39" t="inlineStr">
        <is>
          <t>R046</t>
        </is>
      </c>
      <c r="B48" s="39" t="inlineStr">
        <is>
          <t>P5</t>
        </is>
      </c>
      <c r="C48" s="39" t="inlineStr">
        <is>
          <t>意思決定</t>
        </is>
      </c>
      <c r="D48" s="50" t="inlineStr">
        <is>
          <t>会場を1件目で即決して後悔する</t>
        </is>
      </c>
      <c r="E48" s="24" t="inlineStr">
        <is>
          <t>当日成約割引に押される</t>
        </is>
      </c>
      <c r="F48" s="24" t="inlineStr">
        <is>
          <t>他を見ずに契約している</t>
        </is>
      </c>
      <c r="G48" s="24" t="inlineStr">
        <is>
          <t>決めた側：割引が大きかった。もう一方：比較したかった</t>
        </is>
      </c>
      <c r="H48" s="38" t="n">
        <v>3</v>
      </c>
      <c r="I48" s="38" t="n">
        <v>3</v>
      </c>
      <c r="J48" s="39">
        <f>H48*I48</f>
        <v/>
      </c>
      <c r="K48" s="39">
        <f>IF(J48&gt;=16,"最優先",IF(J48&gt;=12,"高",IF(J48&gt;=6,"中","低")))</f>
        <v/>
      </c>
      <c r="L48" s="24" t="inlineStr">
        <is>
          <t>「1件目では絶対に契約しない」を2人のルールにしてから見学に行く</t>
        </is>
      </c>
      <c r="M48" s="24" t="inlineStr">
        <is>
          <t>キャンセル規定を確認し、内金の損失と後悔を比較して判断する</t>
        </is>
      </c>
      <c r="N48" s="24" t="inlineStr">
        <is>
          <t>大きな買い物は必ず3件比較する運用にする</t>
        </is>
      </c>
      <c r="O48" s="39" t="inlineStr">
        <is>
          <t>2人</t>
        </is>
      </c>
      <c r="P48" s="39" t="inlineStr">
        <is>
          <t>月1回</t>
        </is>
      </c>
      <c r="Q48" s="38" t="inlineStr">
        <is>
          <t>未着手</t>
        </is>
      </c>
    </row>
    <row r="49">
      <c r="A49" s="42" t="inlineStr">
        <is>
          <t>R047</t>
        </is>
      </c>
      <c r="B49" s="42" t="inlineStr">
        <is>
          <t>P5</t>
        </is>
      </c>
      <c r="C49" s="42" t="inlineStr">
        <is>
          <t>時間</t>
        </is>
      </c>
      <c r="D49" s="49" t="inlineStr">
        <is>
          <t>準備が長期化して、生活の全てが式中心になる</t>
        </is>
      </c>
      <c r="E49" s="45" t="inlineStr">
        <is>
          <t>9ヶ月間、休日が全部準備で埋まる</t>
        </is>
      </c>
      <c r="F49" s="45" t="inlineStr">
        <is>
          <t>式以外の会話がなくなる／疲弊している</t>
        </is>
      </c>
      <c r="G49" s="45" t="inlineStr">
        <is>
          <t>どちらも：早く終わってほしい</t>
        </is>
      </c>
      <c r="H49" s="38" t="n">
        <v>3</v>
      </c>
      <c r="I49" s="38" t="n">
        <v>2</v>
      </c>
      <c r="J49" s="42">
        <f>H49*I49</f>
        <v/>
      </c>
      <c r="K49" s="42">
        <f>IF(J49&gt;=16,"最優先",IF(J49&gt;=12,"高",IF(J49&gt;=6,"中","低")))</f>
        <v/>
      </c>
      <c r="L49" s="45" t="inlineStr">
        <is>
          <t>準備に使う日を月◯回までと決める。準備をしない週末を意図的に作る</t>
        </is>
      </c>
      <c r="M49" s="45" t="inlineStr">
        <is>
          <t>タスクを削るか外注する（プランナー任せにできる部分を渡す）</t>
        </is>
      </c>
      <c r="N49" s="45" t="inlineStr">
        <is>
          <t>以降のイベント（保活・引越し）でも同じ上限を設ける</t>
        </is>
      </c>
      <c r="O49" s="42" t="inlineStr">
        <is>
          <t>2人</t>
        </is>
      </c>
      <c r="P49" s="42" t="inlineStr">
        <is>
          <t>月1回</t>
        </is>
      </c>
      <c r="Q49" s="38" t="inlineStr">
        <is>
          <t>未着手</t>
        </is>
      </c>
    </row>
    <row r="50">
      <c r="A50" s="39" t="inlineStr">
        <is>
          <t>R048</t>
        </is>
      </c>
      <c r="B50" s="39" t="inlineStr">
        <is>
          <t>P6</t>
        </is>
      </c>
      <c r="C50" s="39" t="inlineStr">
        <is>
          <t>健康</t>
        </is>
      </c>
      <c r="D50" s="50" t="inlineStr">
        <is>
          <t>前日・当日の疲労とプレッシャーで喧嘩する</t>
        </is>
      </c>
      <c r="E50" s="24" t="inlineStr">
        <is>
          <t>準備の詰めと寝不足</t>
        </is>
      </c>
      <c r="F50" s="24" t="inlineStr">
        <is>
          <t>前日に些細なことで衝突する</t>
        </is>
      </c>
      <c r="G50" s="24" t="inlineStr">
        <is>
          <t>どちらも：極度の緊張と疲労</t>
        </is>
      </c>
      <c r="H50" s="38" t="n">
        <v>3</v>
      </c>
      <c r="I50" s="38" t="n">
        <v>3</v>
      </c>
      <c r="J50" s="39">
        <f>H50*I50</f>
        <v/>
      </c>
      <c r="K50" s="39">
        <f>IF(J50&gt;=16,"最優先",IF(J50&gt;=12,"高",IF(J50&gt;=6,"中","低")))</f>
        <v/>
      </c>
      <c r="L50" s="24" t="inlineStr">
        <is>
          <t>前日のタスクをゼロにして早く寝る。持ち物は2日前に完成させる</t>
        </is>
      </c>
      <c r="M50" s="24" t="inlineStr">
        <is>
          <t>疲労が原因と認識して、その日は決着させない</t>
        </is>
      </c>
      <c r="N50" s="24" t="inlineStr">
        <is>
          <t>重要なイベントの前日は予定を空ける習慣にする</t>
        </is>
      </c>
      <c r="O50" s="39" t="inlineStr">
        <is>
          <t>2人</t>
        </is>
      </c>
      <c r="P50" s="39" t="inlineStr">
        <is>
          <t>月1回</t>
        </is>
      </c>
      <c r="Q50" s="38" t="inlineStr">
        <is>
          <t>未着手</t>
        </is>
      </c>
    </row>
    <row r="51">
      <c r="A51" s="42" t="inlineStr">
        <is>
          <t>R049</t>
        </is>
      </c>
      <c r="B51" s="42" t="inlineStr">
        <is>
          <t>P6</t>
        </is>
      </c>
      <c r="C51" s="42" t="inlineStr">
        <is>
          <t>旅行</t>
        </is>
      </c>
      <c r="D51" s="49" t="inlineStr">
        <is>
          <t>新婚旅行が妊活・妊娠と重なり、行けない／保険が効かない</t>
        </is>
      </c>
      <c r="E51" s="45" t="inlineStr">
        <is>
          <t>式の後に旅行、同時に妊活を開始した</t>
        </is>
      </c>
      <c r="F51" s="45" t="inlineStr">
        <is>
          <t>妊娠判明後に渡航先の感染症リスクを調べていない</t>
        </is>
      </c>
      <c r="G51" s="45" t="inlineStr">
        <is>
          <t>行きたい側：楽しみにしていた。慎重な側：リスクを取りたくない</t>
        </is>
      </c>
      <c r="H51" s="38" t="n">
        <v>3</v>
      </c>
      <c r="I51" s="38" t="n">
        <v>3</v>
      </c>
      <c r="J51" s="42">
        <f>H51*I51</f>
        <v/>
      </c>
      <c r="K51" s="42">
        <f>IF(J51&gt;=16,"最優先",IF(J51&gt;=12,"高",IF(J51&gt;=6,"中","低")))</f>
        <v/>
      </c>
      <c r="L51" s="45" t="inlineStr">
        <is>
          <t>旅行と妊活のどちらを先にするか明示的に決める。ジカ熱流行地域は避ける。航空会社の妊婦搭乗制限と海外旅行保険の妊娠関連免責を予約前に確認する</t>
        </is>
      </c>
      <c r="M51" s="45" t="inlineStr">
        <is>
          <t>国内・近距離に切り替える。キャンセル規定を早期に確認する</t>
        </is>
      </c>
      <c r="N51" s="45" t="inlineStr">
        <is>
          <t>妊娠の可能性がある期間の旅行は、変更可能な予約にする</t>
        </is>
      </c>
      <c r="O51" s="42" t="inlineStr">
        <is>
          <t>2人</t>
        </is>
      </c>
      <c r="P51" s="42" t="inlineStr">
        <is>
          <t>月1回</t>
        </is>
      </c>
      <c r="Q51" s="38" t="inlineStr">
        <is>
          <t>未着手</t>
        </is>
      </c>
    </row>
    <row r="52">
      <c r="A52" s="39" t="inlineStr">
        <is>
          <t>R050</t>
        </is>
      </c>
      <c r="B52" s="39" t="inlineStr">
        <is>
          <t>P6</t>
        </is>
      </c>
      <c r="C52" s="39" t="inlineStr">
        <is>
          <t>お金</t>
        </is>
      </c>
      <c r="D52" s="50" t="inlineStr">
        <is>
          <t>式の精算後に貯蓄が想定より減っている</t>
        </is>
      </c>
      <c r="E52" s="24" t="inlineStr">
        <is>
          <t>ご祝儀が想定を下回る／追加費用</t>
        </is>
      </c>
      <c r="F52" s="24" t="inlineStr">
        <is>
          <t>収支を集計していない</t>
        </is>
      </c>
      <c r="G52" s="24" t="inlineStr">
        <is>
          <t>どちらも：見たくない</t>
        </is>
      </c>
      <c r="H52" s="38" t="n">
        <v>3</v>
      </c>
      <c r="I52" s="38" t="n">
        <v>3</v>
      </c>
      <c r="J52" s="39">
        <f>H52*I52</f>
        <v/>
      </c>
      <c r="K52" s="39">
        <f>IF(J52&gt;=16,"最優先",IF(J52&gt;=12,"高",IF(J52&gt;=6,"中","低")))</f>
        <v/>
      </c>
      <c r="L52" s="24" t="inlineStr">
        <is>
          <t>式後1ヶ月以内に収支を確定させ、次の積立計画に反映する</t>
        </is>
      </c>
      <c r="M52" s="24" t="inlineStr">
        <is>
          <t>出産・育児資金の積立額を見直す。不足分の回復計画を作る</t>
        </is>
      </c>
      <c r="N52" s="24" t="inlineStr">
        <is>
          <t>大きな支出の後は必ず収支を締めて次の計画に反映する</t>
        </is>
      </c>
      <c r="O52" s="39" t="inlineStr">
        <is>
          <t>2人</t>
        </is>
      </c>
      <c r="P52" s="39" t="inlineStr">
        <is>
          <t>月1回</t>
        </is>
      </c>
      <c r="Q52" s="38" t="inlineStr">
        <is>
          <t>未着手</t>
        </is>
      </c>
    </row>
    <row r="53">
      <c r="A53" s="42" t="inlineStr">
        <is>
          <t>R051</t>
        </is>
      </c>
      <c r="B53" s="42" t="inlineStr">
        <is>
          <t>P6</t>
        </is>
      </c>
      <c r="C53" s="42" t="inlineStr">
        <is>
          <t>親族</t>
        </is>
      </c>
      <c r="D53" s="49" t="inlineStr">
        <is>
          <t>お礼・内祝いの漏れで関係が悪くなる</t>
        </is>
      </c>
      <c r="E53" s="45" t="inlineStr">
        <is>
          <t>式に呼ばなかった人からのお祝い</t>
        </is>
      </c>
      <c r="F53" s="45" t="inlineStr">
        <is>
          <t>誰から何を貰ったか記録していない</t>
        </is>
      </c>
      <c r="G53" s="45" t="inlineStr">
        <is>
          <t>貰った側：忘れていた。贈った側：軽んじられた</t>
        </is>
      </c>
      <c r="H53" s="38" t="n">
        <v>3</v>
      </c>
      <c r="I53" s="38" t="n">
        <v>2</v>
      </c>
      <c r="J53" s="42">
        <f>H53*I53</f>
        <v/>
      </c>
      <c r="K53" s="42">
        <f>IF(J53&gt;=16,"最優先",IF(J53&gt;=12,"高",IF(J53&gt;=6,"中","低")))</f>
        <v/>
      </c>
      <c r="L53" s="45" t="inlineStr">
        <is>
          <t>いただいた物・金額・住所の記録表を最初から作る</t>
        </is>
      </c>
      <c r="M53" s="45" t="inlineStr">
        <is>
          <t>気づいた時点ですぐ送り、一言添える</t>
        </is>
      </c>
      <c r="N53" s="45" t="inlineStr">
        <is>
          <t>出産の内祝いでも同じ記録表を使う</t>
        </is>
      </c>
      <c r="O53" s="42" t="inlineStr">
        <is>
          <t>2人</t>
        </is>
      </c>
      <c r="P53" s="42" t="inlineStr">
        <is>
          <t>月1回</t>
        </is>
      </c>
      <c r="Q53" s="38" t="inlineStr">
        <is>
          <t>未着手</t>
        </is>
      </c>
    </row>
    <row r="54">
      <c r="A54" s="39" t="inlineStr">
        <is>
          <t>R052</t>
        </is>
      </c>
      <c r="B54" s="39" t="inlineStr">
        <is>
          <t>P7</t>
        </is>
      </c>
      <c r="C54" s="39" t="inlineStr">
        <is>
          <t>医療</t>
        </is>
      </c>
      <c r="D54" s="50" t="inlineStr">
        <is>
          <t>パートナー側が検査を受けず、当事者意識に差が出る</t>
        </is>
      </c>
      <c r="E54" s="24" t="inlineStr">
        <is>
          <t>「まだ大丈夫」「自分は関係ない」</t>
        </is>
      </c>
      <c r="F54" s="24" t="inlineStr">
        <is>
          <t>検査の話を先延ばしにする／病院の予約を取らない</t>
        </is>
      </c>
      <c r="G54" s="24" t="inlineStr">
        <is>
          <t>受けない側：怖い、恥ずかしい、自分に問題があるはずがない。もう一方：自分だけが体を差し出している</t>
        </is>
      </c>
      <c r="H54" s="38" t="n">
        <v>4</v>
      </c>
      <c r="I54" s="38" t="n">
        <v>5</v>
      </c>
      <c r="J54" s="39">
        <f>H54*I54</f>
        <v/>
      </c>
      <c r="K54" s="39">
        <f>IF(J54&gt;=16,"最優先",IF(J54&gt;=12,"高",IF(J54&gt;=6,"中","低")))</f>
        <v/>
      </c>
      <c r="L54" s="24" t="inlineStr">
        <is>
          <t>妊活を始める前に精液検査を先に済ませる（5,000円・1回）。不妊原因の約半分が男性側であることを2人で同じ資料で確認する</t>
        </is>
      </c>
      <c r="M54" s="24" t="inlineStr">
        <is>
          <t>期限を切って予約まで一緒にやる。それでも進まないなら自宅検査キットで入口を下げる</t>
        </is>
      </c>
      <c r="N54" s="24" t="inlineStr">
        <is>
          <t>検査は2人同時に受ける原則にする。結果に関わらず「2人の課題」と先に言語化する</t>
        </is>
      </c>
      <c r="O54" s="39" t="inlineStr">
        <is>
          <t>2人</t>
        </is>
      </c>
      <c r="P54" s="39" t="inlineStr">
        <is>
          <t>月1回</t>
        </is>
      </c>
      <c r="Q54" s="38" t="inlineStr">
        <is>
          <t>未着手</t>
        </is>
      </c>
    </row>
    <row r="55">
      <c r="A55" s="42" t="inlineStr">
        <is>
          <t>R053</t>
        </is>
      </c>
      <c r="B55" s="42" t="inlineStr">
        <is>
          <t>P7</t>
        </is>
      </c>
      <c r="C55" s="42" t="inlineStr">
        <is>
          <t>意思決定</t>
        </is>
      </c>
      <c r="D55" s="49" t="inlineStr">
        <is>
          <t>「できなかったとき」の話をしないまま妊活に入る</t>
        </is>
      </c>
      <c r="E55" s="45" t="inlineStr">
        <is>
          <t>うまくいく前提で話が進んでいる</t>
        </is>
      </c>
      <c r="F55" s="45" t="inlineStr">
        <is>
          <t>治療の話題になると片方が黙る</t>
        </is>
      </c>
      <c r="G55" s="45" t="inlineStr">
        <is>
          <t>話したくない側：縁起でもない。話したい側：後で追い込まれたくない</t>
        </is>
      </c>
      <c r="H55" s="38" t="n">
        <v>4</v>
      </c>
      <c r="I55" s="38" t="n">
        <v>4</v>
      </c>
      <c r="J55" s="42">
        <f>H55*I55</f>
        <v/>
      </c>
      <c r="K55" s="42">
        <f>IF(J55&gt;=16,"最優先",IF(J55&gt;=12,"高",IF(J55&gt;=6,"中","低")))</f>
        <v/>
      </c>
      <c r="L55" s="45" t="inlineStr">
        <is>
          <t>妊活開始前に「何周期で受診」「治療はどこまで」「できなかった場合どうするか」を数字と言葉で合意して書き残す</t>
        </is>
      </c>
      <c r="M55" s="45" t="inlineStr">
        <is>
          <t>感情が落ち着いているタイミングで再度話す。第三者（不妊専門相談センター）を挟む</t>
        </is>
      </c>
      <c r="N55" s="45" t="inlineStr">
        <is>
          <t>半年ごとに合意内容を見直す</t>
        </is>
      </c>
      <c r="O55" s="42" t="inlineStr">
        <is>
          <t>2人</t>
        </is>
      </c>
      <c r="P55" s="42" t="inlineStr">
        <is>
          <t>月1回</t>
        </is>
      </c>
      <c r="Q55" s="38" t="inlineStr">
        <is>
          <t>未着手</t>
        </is>
      </c>
    </row>
    <row r="56">
      <c r="A56" s="39" t="inlineStr">
        <is>
          <t>R054</t>
        </is>
      </c>
      <c r="B56" s="39" t="inlineStr">
        <is>
          <t>P7</t>
        </is>
      </c>
      <c r="C56" s="39" t="inlineStr">
        <is>
          <t>医療</t>
        </is>
      </c>
      <c r="D56" s="50" t="inlineStr">
        <is>
          <t>風疹ワクチンの接種で妊活開始が2ヶ月遅れる</t>
        </is>
      </c>
      <c r="E56" s="24" t="inlineStr">
        <is>
          <t>抗体不足が判明したのが妊活直前</t>
        </is>
      </c>
      <c r="F56" s="24" t="inlineStr">
        <is>
          <t>抗体検査を受けていない</t>
        </is>
      </c>
      <c r="G56" s="24" t="inlineStr">
        <is>
          <t>どちらも：接種歴があるから大丈夫だと思っていた</t>
        </is>
      </c>
      <c r="H56" s="38" t="n">
        <v>3</v>
      </c>
      <c r="I56" s="38" t="n">
        <v>2</v>
      </c>
      <c r="J56" s="39">
        <f>H56*I56</f>
        <v/>
      </c>
      <c r="K56" s="39">
        <f>IF(J56&gt;=16,"最優先",IF(J56&gt;=12,"高",IF(J56&gt;=6,"中","低")))</f>
        <v/>
      </c>
      <c r="L56" s="24" t="inlineStr">
        <is>
          <t>妊活開始の3ヶ月前までに2人とも抗体検査を受ける</t>
        </is>
      </c>
      <c r="M56" s="24" t="inlineStr">
        <is>
          <t>接種後2ヶ月の避妊期間をスケジュールに織り込み直す</t>
        </is>
      </c>
      <c r="N56" s="24" t="inlineStr">
        <is>
          <t>妊活準備の最初のタスクとして固定する</t>
        </is>
      </c>
      <c r="O56" s="39" t="inlineStr">
        <is>
          <t>2人</t>
        </is>
      </c>
      <c r="P56" s="39" t="inlineStr">
        <is>
          <t>月1回</t>
        </is>
      </c>
      <c r="Q56" s="38" t="inlineStr">
        <is>
          <t>未着手</t>
        </is>
      </c>
    </row>
    <row r="57">
      <c r="A57" s="42" t="inlineStr">
        <is>
          <t>R055</t>
        </is>
      </c>
      <c r="B57" s="42" t="inlineStr">
        <is>
          <t>P7</t>
        </is>
      </c>
      <c r="C57" s="42" t="inlineStr">
        <is>
          <t>お金</t>
        </is>
      </c>
      <c r="D57" s="49" t="inlineStr">
        <is>
          <t>民間医療保険に入り損ね、帝王切開の自己負担が重くなる</t>
        </is>
      </c>
      <c r="E57" s="45" t="inlineStr">
        <is>
          <t>妊娠判明後に加入しようとした</t>
        </is>
      </c>
      <c r="F57" s="45" t="inlineStr">
        <is>
          <t>妊娠してから保険を調べ始めている</t>
        </is>
      </c>
      <c r="G57" s="45" t="inlineStr">
        <is>
          <t>どちらも：制度を知らなかった</t>
        </is>
      </c>
      <c r="H57" s="38" t="n">
        <v>3</v>
      </c>
      <c r="I57" s="38" t="n">
        <v>3</v>
      </c>
      <c r="J57" s="42">
        <f>H57*I57</f>
        <v/>
      </c>
      <c r="K57" s="42">
        <f>IF(J57&gt;=16,"最優先",IF(J57&gt;=12,"高",IF(J57&gt;=6,"中","低")))</f>
        <v/>
      </c>
      <c r="L57" s="45" t="inlineStr">
        <is>
          <t>妊娠前に医療保険を整える。妊娠後は子宮関連が不担保になるのが一般的</t>
        </is>
      </c>
      <c r="M57" s="45" t="inlineStr">
        <is>
          <t>高額療養費と限度額適用認定証で自己負担の上限を抑える</t>
        </is>
      </c>
      <c r="N57" s="45" t="inlineStr">
        <is>
          <t>ライフイベントの前に保険を見直す習慣にする</t>
        </is>
      </c>
      <c r="O57" s="42" t="inlineStr">
        <is>
          <t>2人</t>
        </is>
      </c>
      <c r="P57" s="42" t="inlineStr">
        <is>
          <t>月1回</t>
        </is>
      </c>
      <c r="Q57" s="38" t="inlineStr">
        <is>
          <t>未着手</t>
        </is>
      </c>
    </row>
    <row r="58">
      <c r="A58" s="39" t="inlineStr">
        <is>
          <t>R056</t>
        </is>
      </c>
      <c r="B58" s="39" t="inlineStr">
        <is>
          <t>P7</t>
        </is>
      </c>
      <c r="C58" s="39" t="inlineStr">
        <is>
          <t>健康</t>
        </is>
      </c>
      <c r="D58" s="50" t="inlineStr">
        <is>
          <t>サプリ・健康法に過剰投資して家計と関係を圧迫する</t>
        </is>
      </c>
      <c r="E58" s="24" t="inlineStr">
        <is>
          <t>高額なサプリ、民間療法、情報過多</t>
        </is>
      </c>
      <c r="F58" s="24" t="inlineStr">
        <is>
          <t>月数万円のサプリ／不安で買い続ける</t>
        </is>
      </c>
      <c r="G58" s="24" t="inlineStr">
        <is>
          <t>買う側：できることは全部やりたい。もう一方：効果が不明なものにお金をかけたくない</t>
        </is>
      </c>
      <c r="H58" s="38" t="n">
        <v>3</v>
      </c>
      <c r="I58" s="38" t="n">
        <v>2</v>
      </c>
      <c r="J58" s="39">
        <f>H58*I58</f>
        <v/>
      </c>
      <c r="K58" s="39">
        <f>IF(J58&gt;=16,"最優先",IF(J58&gt;=12,"高",IF(J58&gt;=6,"中","低")))</f>
        <v/>
      </c>
      <c r="L58" s="24" t="inlineStr">
        <is>
          <t>葉酸は成分表で比較して選ぶ（高額品と安価品で葉酸量は変わらないことが多い）。妊活関連の支出上限を決める</t>
        </is>
      </c>
      <c r="M58" s="24" t="inlineStr">
        <is>
          <t>エビデンスの有無で仕分ける。医師に相談してから継続を決める</t>
        </is>
      </c>
      <c r="N58" s="24" t="inlineStr">
        <is>
          <t>妊活関連費の月額上限を家計に組み込む</t>
        </is>
      </c>
      <c r="O58" s="39" t="inlineStr">
        <is>
          <t>2人</t>
        </is>
      </c>
      <c r="P58" s="39" t="inlineStr">
        <is>
          <t>月1回</t>
        </is>
      </c>
      <c r="Q58" s="38" t="inlineStr">
        <is>
          <t>未着手</t>
        </is>
      </c>
    </row>
    <row r="59">
      <c r="A59" s="42" t="inlineStr">
        <is>
          <t>R057</t>
        </is>
      </c>
      <c r="B59" s="42" t="inlineStr">
        <is>
          <t>P7</t>
        </is>
      </c>
      <c r="C59" s="42" t="inlineStr">
        <is>
          <t>キャリア</t>
        </is>
      </c>
      <c r="D59" s="49" t="inlineStr">
        <is>
          <t>妊活とキャリアの山場が重なる</t>
        </is>
      </c>
      <c r="E59" s="45" t="inlineStr">
        <is>
          <t>昇進・転職・大型プロジェクトと同時期</t>
        </is>
      </c>
      <c r="F59" s="45" t="inlineStr">
        <is>
          <t>通院のために休めない</t>
        </is>
      </c>
      <c r="G59" s="45" t="inlineStr">
        <is>
          <t>仕事優先側：今を逃せない。妊活優先側：年齢は待ってくれない</t>
        </is>
      </c>
      <c r="H59" s="38" t="n">
        <v>3</v>
      </c>
      <c r="I59" s="38" t="n">
        <v>4</v>
      </c>
      <c r="J59" s="42">
        <f>H59*I59</f>
        <v/>
      </c>
      <c r="K59" s="42">
        <f>IF(J59&gt;=16,"最優先",IF(J59&gt;=12,"高",IF(J59&gt;=6,"中","低")))</f>
        <v/>
      </c>
      <c r="L59" s="45" t="inlineStr">
        <is>
          <t>3年計画と妊活の開始時期を並べて、衝突を先に発見する</t>
        </is>
      </c>
      <c r="M59" s="45" t="inlineStr">
        <is>
          <t>どちらを優先するか明示的に決める。曖昧にすると両方が中途半端になる</t>
        </is>
      </c>
      <c r="N59" s="45" t="inlineStr">
        <is>
          <t>半年ごとにキャリアと妊活の計画を突き合わせる</t>
        </is>
      </c>
      <c r="O59" s="42" t="inlineStr">
        <is>
          <t>2人</t>
        </is>
      </c>
      <c r="P59" s="42" t="inlineStr">
        <is>
          <t>月1回</t>
        </is>
      </c>
      <c r="Q59" s="38" t="inlineStr">
        <is>
          <t>未着手</t>
        </is>
      </c>
    </row>
    <row r="60">
      <c r="A60" s="39" t="inlineStr">
        <is>
          <t>R058</t>
        </is>
      </c>
      <c r="B60" s="39" t="inlineStr">
        <is>
          <t>P7</t>
        </is>
      </c>
      <c r="C60" s="39" t="inlineStr">
        <is>
          <t>コミュニケーション</t>
        </is>
      </c>
      <c r="D60" s="50" t="inlineStr">
        <is>
          <t>年齢と妊娠率の現実認識がずれている</t>
        </is>
      </c>
      <c r="E60" s="24" t="inlineStr">
        <is>
          <t>「まだ大丈夫」という感覚のズレ</t>
        </is>
      </c>
      <c r="F60" s="24" t="inlineStr">
        <is>
          <t>時期の話が具体化しない</t>
        </is>
      </c>
      <c r="G60" s="24" t="inlineStr">
        <is>
          <t>楽観側：周りもまだ産んでいない。危機感がある側：数字を見ると余裕がない</t>
        </is>
      </c>
      <c r="H60" s="38" t="n">
        <v>4</v>
      </c>
      <c r="I60" s="38" t="n">
        <v>4</v>
      </c>
      <c r="J60" s="39">
        <f>H60*I60</f>
        <v/>
      </c>
      <c r="K60" s="39">
        <f>IF(J60&gt;=16,"最優先",IF(J60&gt;=12,"高",IF(J60&gt;=6,"中","低")))</f>
        <v/>
      </c>
      <c r="L60" s="24" t="inlineStr">
        <is>
          <t>年齢別の妊娠率・流産率・体外受精の成功率を2人で同じ資料で見る。保険適用の年齢上限も確認する</t>
        </is>
      </c>
      <c r="M60" s="24" t="inlineStr">
        <is>
          <t>資料を見たうえで、開始時期を前倒しするか決める</t>
        </is>
      </c>
      <c r="N60" s="24" t="inlineStr">
        <is>
          <t>年1回、年齢と計画を突き合わせる</t>
        </is>
      </c>
      <c r="O60" s="39" t="inlineStr">
        <is>
          <t>2人</t>
        </is>
      </c>
      <c r="P60" s="39" t="inlineStr">
        <is>
          <t>月1回</t>
        </is>
      </c>
      <c r="Q60" s="38" t="inlineStr">
        <is>
          <t>未着手</t>
        </is>
      </c>
    </row>
    <row r="61">
      <c r="A61" s="42" t="inlineStr">
        <is>
          <t>R059</t>
        </is>
      </c>
      <c r="B61" s="42" t="inlineStr">
        <is>
          <t>P7</t>
        </is>
      </c>
      <c r="C61" s="42" t="inlineStr">
        <is>
          <t>健康</t>
        </is>
      </c>
      <c r="D61" s="49" t="inlineStr">
        <is>
          <t>生活習慣の改善が片方だけになる</t>
        </is>
      </c>
      <c r="E61" s="45" t="inlineStr">
        <is>
          <t>妊娠する側だけが禁酒・食事制限をしている</t>
        </is>
      </c>
      <c r="F61" s="45" t="inlineStr">
        <is>
          <t>パートナー側の喫煙・飲酒が変わらない</t>
        </is>
      </c>
      <c r="G61" s="45" t="inlineStr">
        <is>
          <t>頑張る側：なぜ自分だけ。もう一方：自分は妊娠しないから関係ない</t>
        </is>
      </c>
      <c r="H61" s="38" t="n">
        <v>4</v>
      </c>
      <c r="I61" s="38" t="n">
        <v>3</v>
      </c>
      <c r="J61" s="42">
        <f>H61*I61</f>
        <v/>
      </c>
      <c r="K61" s="42">
        <f>IF(J61&gt;=16,"最優先",IF(J61&gt;=12,"高",IF(J61&gt;=6,"中","低")))</f>
        <v/>
      </c>
      <c r="L61" s="45" t="inlineStr">
        <is>
          <t>喫煙が精子に影響することを共有し、生活習慣の目標を2人分set する</t>
        </is>
      </c>
      <c r="M61" s="45" t="inlineStr">
        <is>
          <t>2人の目標を並べて、達成状況を週次で確認する</t>
        </is>
      </c>
      <c r="N61" s="45" t="inlineStr">
        <is>
          <t>妊活は2人のプロジェクトとして管理する</t>
        </is>
      </c>
      <c r="O61" s="42" t="inlineStr">
        <is>
          <t>2人</t>
        </is>
      </c>
      <c r="P61" s="42" t="inlineStr">
        <is>
          <t>月1回</t>
        </is>
      </c>
      <c r="Q61" s="38" t="inlineStr">
        <is>
          <t>未着手</t>
        </is>
      </c>
    </row>
    <row r="62">
      <c r="A62" s="39" t="inlineStr">
        <is>
          <t>R060</t>
        </is>
      </c>
      <c r="B62" s="39" t="inlineStr">
        <is>
          <t>P8</t>
        </is>
      </c>
      <c r="C62" s="39" t="inlineStr">
        <is>
          <t>性</t>
        </is>
      </c>
      <c r="D62" s="50" t="inlineStr">
        <is>
          <t>性交渉が義務化し、関係が悪化する</t>
        </is>
      </c>
      <c r="E62" s="24" t="inlineStr">
        <is>
          <t>排卵日に合わせた「今日やらないと」</t>
        </is>
      </c>
      <c r="F62" s="24" t="inlineStr">
        <is>
          <t>誘い方が事務的になる／片方が避けるようになる／プレッシャーで機能しなくなる</t>
        </is>
      </c>
      <c r="G62" s="24" t="inlineStr">
        <is>
          <t>誘う側：チャンスを逃したくない。誘われる側：自分が道具のように感じる</t>
        </is>
      </c>
      <c r="H62" s="38" t="n">
        <v>4</v>
      </c>
      <c r="I62" s="38" t="n">
        <v>4</v>
      </c>
      <c r="J62" s="39">
        <f>H62*I62</f>
        <v/>
      </c>
      <c r="K62" s="39">
        <f>IF(J62&gt;=16,"最優先",IF(J62&gt;=12,"高",IF(J62&gt;=6,"中","低")))</f>
        <v/>
      </c>
      <c r="L62" s="24" t="inlineStr">
        <is>
          <t>タイミングを取る期間と取らない期間を明確に分ける。排卵日の共有方法（言い方）を2人で決める。早めにクリニックに移すと精神的負担が下がる</t>
        </is>
      </c>
      <c r="M62" s="24" t="inlineStr">
        <is>
          <t>1〜2周期休む。人工授精に切り替えてタイミングの圧力を外す</t>
        </is>
      </c>
      <c r="N62" s="24" t="inlineStr">
        <is>
          <t>義務化した時点で医療に切り替える判断基準を先に決めておく</t>
        </is>
      </c>
      <c r="O62" s="39" t="inlineStr">
        <is>
          <t>2人</t>
        </is>
      </c>
      <c r="P62" s="39" t="inlineStr">
        <is>
          <t>月1回</t>
        </is>
      </c>
      <c r="Q62" s="38" t="inlineStr">
        <is>
          <t>未着手</t>
        </is>
      </c>
    </row>
    <row r="63">
      <c r="A63" s="42" t="inlineStr">
        <is>
          <t>R061</t>
        </is>
      </c>
      <c r="B63" s="42" t="inlineStr">
        <is>
          <t>P8</t>
        </is>
      </c>
      <c r="C63" s="42" t="inlineStr">
        <is>
          <t>医療</t>
        </is>
      </c>
      <c r="D63" s="49" t="inlineStr">
        <is>
          <t>不妊の原因を一方に帰属させ、罪悪感と非難が生まれる</t>
        </is>
      </c>
      <c r="E63" s="45" t="inlineStr">
        <is>
          <t>検査で片方に所見が出た</t>
        </is>
      </c>
      <c r="F63" s="45" t="inlineStr">
        <is>
          <t>「自分のせいで」が出る／親族の前で萎縮する</t>
        </is>
      </c>
      <c r="G63" s="45" t="inlineStr">
        <is>
          <t>所見がある側：申し訳ない、責められている。もう一方：責めていないのに伝わらない</t>
        </is>
      </c>
      <c r="H63" s="38" t="n">
        <v>3</v>
      </c>
      <c r="I63" s="38" t="n">
        <v>5</v>
      </c>
      <c r="J63" s="42">
        <f>H63*I63</f>
        <v/>
      </c>
      <c r="K63" s="42">
        <f>IF(J63&gt;=16,"最優先",IF(J63&gt;=12,"高",IF(J63&gt;=6,"中","低")))</f>
        <v/>
      </c>
      <c r="L63" s="45" t="inlineStr">
        <is>
          <t>検査は必ず2人同時に受ける。原因の所在にかかわらず「2人の課題」と最初に言語化しておく</t>
        </is>
      </c>
      <c r="M63" s="45" t="inlineStr">
        <is>
          <t>カウンセリングを利用する。原因を持つ側を責める発言はルールとして禁止する</t>
        </is>
      </c>
      <c r="N63" s="45" t="inlineStr">
        <is>
          <t>原因の話をするときは必ず「次にどうするか」とセットにする</t>
        </is>
      </c>
      <c r="O63" s="42" t="inlineStr">
        <is>
          <t>2人</t>
        </is>
      </c>
      <c r="P63" s="42" t="inlineStr">
        <is>
          <t>月1回</t>
        </is>
      </c>
      <c r="Q63" s="38" t="inlineStr">
        <is>
          <t>未着手</t>
        </is>
      </c>
    </row>
    <row r="64">
      <c r="A64" s="39" t="inlineStr">
        <is>
          <t>R062</t>
        </is>
      </c>
      <c r="B64" s="39" t="inlineStr">
        <is>
          <t>P8</t>
        </is>
      </c>
      <c r="C64" s="39" t="inlineStr">
        <is>
          <t>キャリア</t>
        </is>
      </c>
      <c r="D64" s="50" t="inlineStr">
        <is>
          <t>通院・仕事調整の負担が妊娠する側に集中する</t>
        </is>
      </c>
      <c r="E64" s="24" t="inlineStr">
        <is>
          <t>生理周期に合わせた平日朝の頻回通院</t>
        </is>
      </c>
      <c r="F64" s="24" t="inlineStr">
        <is>
          <t>有給が尽きる／評価や異動に影響が出始める</t>
        </is>
      </c>
      <c r="G64" s="24" t="inlineStr">
        <is>
          <t>通う側：キャリアが削られていく。もう一方：自分は行っても何もできない</t>
        </is>
      </c>
      <c r="H64" s="38" t="n">
        <v>5</v>
      </c>
      <c r="I64" s="38" t="n">
        <v>4</v>
      </c>
      <c r="J64" s="39">
        <f>H64*I64</f>
        <v/>
      </c>
      <c r="K64" s="39">
        <f>IF(J64&gt;=16,"最優先",IF(J64&gt;=12,"高",IF(J64&gt;=6,"中","低")))</f>
        <v/>
      </c>
      <c r="L64" s="24" t="inlineStr">
        <is>
          <t>パートナー側も説明・採精で通う日を必ず作る。勤務先の不妊治療休暇の有無を確認する。通院日は家事を自動的に相手へ振り替える</t>
        </is>
      </c>
      <c r="M64" s="24" t="inlineStr">
        <is>
          <t>治療のペースを落とす選択も机に乗せる。転職・部署異動も選択肢として検討する</t>
        </is>
      </c>
      <c r="N64" s="24" t="inlineStr">
        <is>
          <t>通院日数と休んだ日数を記録して、非対称を可視化する</t>
        </is>
      </c>
      <c r="O64" s="39" t="inlineStr">
        <is>
          <t>2人</t>
        </is>
      </c>
      <c r="P64" s="39" t="inlineStr">
        <is>
          <t>月1回</t>
        </is>
      </c>
      <c r="Q64" s="38" t="inlineStr">
        <is>
          <t>未着手</t>
        </is>
      </c>
    </row>
    <row r="65">
      <c r="A65" s="42" t="inlineStr">
        <is>
          <t>R063</t>
        </is>
      </c>
      <c r="B65" s="42" t="inlineStr">
        <is>
          <t>P8</t>
        </is>
      </c>
      <c r="C65" s="42" t="inlineStr">
        <is>
          <t>お金</t>
        </is>
      </c>
      <c r="D65" s="49" t="inlineStr">
        <is>
          <t>治療費の上限・やめどきで対立する</t>
        </is>
      </c>
      <c r="E65" s="45" t="inlineStr">
        <is>
          <t>回数を重ね、費用が数百万円規模になる</t>
        </is>
      </c>
      <c r="F65" s="45" t="inlineStr">
        <is>
          <t>費用の話をすると喧嘩になる／片方だけが続けたがる</t>
        </is>
      </c>
      <c r="G65" s="45" t="inlineStr">
        <is>
          <t>続けたい側：ここでやめたら今までが無駄。やめたい側：終わりが見えない</t>
        </is>
      </c>
      <c r="H65" s="38" t="n">
        <v>4</v>
      </c>
      <c r="I65" s="38" t="n">
        <v>5</v>
      </c>
      <c r="J65" s="42">
        <f>H65*I65</f>
        <v/>
      </c>
      <c r="K65" s="42">
        <f>IF(J65&gt;=16,"最優先",IF(J65&gt;=12,"高",IF(J65&gt;=6,"中","低")))</f>
        <v/>
      </c>
      <c r="L65" s="45" t="inlineStr">
        <is>
          <t>冷静なうちに「金額・回数・年齢」のいずれかで上限を決めて書き残す。保険適用の回数上限（40歳未満6回等）を基準にすると議論しやすい</t>
        </is>
      </c>
      <c r="M65" s="45" t="inlineStr">
        <is>
          <t>決めた上限に戻る。上限を変えるなら、変える理由を2人で改めて合意して更新する</t>
        </is>
      </c>
      <c r="N65" s="45" t="inlineStr">
        <is>
          <t>治療費の累計を常に見える化しておく</t>
        </is>
      </c>
      <c r="O65" s="42" t="inlineStr">
        <is>
          <t>2人</t>
        </is>
      </c>
      <c r="P65" s="42" t="inlineStr">
        <is>
          <t>月1回</t>
        </is>
      </c>
      <c r="Q65" s="38" t="inlineStr">
        <is>
          <t>未着手</t>
        </is>
      </c>
    </row>
    <row r="66">
      <c r="A66" s="39" t="inlineStr">
        <is>
          <t>R064</t>
        </is>
      </c>
      <c r="B66" s="39" t="inlineStr">
        <is>
          <t>P8</t>
        </is>
      </c>
      <c r="C66" s="39" t="inlineStr">
        <is>
          <t>健康</t>
        </is>
      </c>
      <c r="D66" s="50" t="inlineStr">
        <is>
          <t>周囲の妊娠報告・親からのプレッシャーで消耗する</t>
        </is>
      </c>
      <c r="E66" s="24" t="inlineStr">
        <is>
          <t>友人の出産報告、年末年始の帰省、SNS</t>
        </is>
      </c>
      <c r="F66" s="24" t="inlineStr">
        <is>
          <t>SNSを見なくなる／帰省を避けたがる／友人と会わなくなる</t>
        </is>
      </c>
      <c r="G66" s="24" t="inlineStr">
        <is>
          <t>本人：おめでとうと言えない自分が嫌。周囲：悪気なく聞いてくる</t>
        </is>
      </c>
      <c r="H66" s="38" t="n">
        <v>4</v>
      </c>
      <c r="I66" s="38" t="n">
        <v>3</v>
      </c>
      <c r="J66" s="39">
        <f>H66*I66</f>
        <v/>
      </c>
      <c r="K66" s="39">
        <f>IF(J66&gt;=16,"最優先",IF(J66&gt;=12,"高",IF(J66&gt;=6,"中","低")))</f>
        <v/>
      </c>
      <c r="L66" s="24" t="inlineStr">
        <is>
          <t>親への説明は各自が自分の実親に行うと決めておく。「聞かないでほしい」を2人の言葉として伝える。帰省の滞在時間を短くする</t>
        </is>
      </c>
      <c r="M66" s="24" t="inlineStr">
        <is>
          <t>無理に参加しない。行事の欠席を2人で決める</t>
        </is>
      </c>
      <c r="N66" s="24" t="inlineStr">
        <is>
          <t>つらいときの逃げ場（相談先）を事前に用意しておく</t>
        </is>
      </c>
      <c r="O66" s="39" t="inlineStr">
        <is>
          <t>2人</t>
        </is>
      </c>
      <c r="P66" s="39" t="inlineStr">
        <is>
          <t>月1回</t>
        </is>
      </c>
      <c r="Q66" s="38" t="inlineStr">
        <is>
          <t>未着手</t>
        </is>
      </c>
    </row>
    <row r="67">
      <c r="A67" s="42" t="inlineStr">
        <is>
          <t>R065</t>
        </is>
      </c>
      <c r="B67" s="42" t="inlineStr">
        <is>
          <t>P8</t>
        </is>
      </c>
      <c r="C67" s="42" t="inlineStr">
        <is>
          <t>健康</t>
        </is>
      </c>
      <c r="D67" s="49" t="inlineStr">
        <is>
          <t>妊活が長期化してメンタルが摩耗する</t>
        </is>
      </c>
      <c r="E67" s="45" t="inlineStr">
        <is>
          <t>毎月の落胆の繰り返し</t>
        </is>
      </c>
      <c r="F67" s="45" t="inlineStr">
        <is>
          <t>生理が来るたびに強く落ち込む／笑わなくなる</t>
        </is>
      </c>
      <c r="G67" s="45" t="inlineStr">
        <is>
          <t>本人：終わりが見えない。もう一方：どう声をかければいいか分からない</t>
        </is>
      </c>
      <c r="H67" s="38" t="n">
        <v>4</v>
      </c>
      <c r="I67" s="38" t="n">
        <v>4</v>
      </c>
      <c r="J67" s="42">
        <f>H67*I67</f>
        <v/>
      </c>
      <c r="K67" s="42">
        <f>IF(J67&gt;=16,"最優先",IF(J67&gt;=12,"高",IF(J67&gt;=6,"中","低")))</f>
        <v/>
      </c>
      <c r="L67" s="45" t="inlineStr">
        <is>
          <t>休む周期を意図的に作る。不妊専門相談センター（各都道府県に設置）やカウンセリングを最初から選択肢に入れる</t>
        </is>
      </c>
      <c r="M67" s="45" t="inlineStr">
        <is>
          <t>治療を一時休止する。声のかけ方を本人に聞いておく（励まさないでほしい等）</t>
        </is>
      </c>
      <c r="N67" s="45" t="inlineStr">
        <is>
          <t>定期的に「続けるか休むか」を確認する場を作る</t>
        </is>
      </c>
      <c r="O67" s="42" t="inlineStr">
        <is>
          <t>2人</t>
        </is>
      </c>
      <c r="P67" s="42" t="inlineStr">
        <is>
          <t>月1回</t>
        </is>
      </c>
      <c r="Q67" s="38" t="inlineStr">
        <is>
          <t>未着手</t>
        </is>
      </c>
    </row>
    <row r="68">
      <c r="A68" s="39" t="inlineStr">
        <is>
          <t>R066</t>
        </is>
      </c>
      <c r="B68" s="39" t="inlineStr">
        <is>
          <t>P8</t>
        </is>
      </c>
      <c r="C68" s="39" t="inlineStr">
        <is>
          <t>コミュニケーション</t>
        </is>
      </c>
      <c r="D68" s="50" t="inlineStr">
        <is>
          <t>結果待ちの期間の過ごし方でストレスが増幅する</t>
        </is>
      </c>
      <c r="E68" s="24" t="inlineStr">
        <is>
          <t>判定日までの2週間</t>
        </is>
      </c>
      <c r="F68" s="24" t="inlineStr">
        <is>
          <t>検査薬を何度も使う／落ち着かない</t>
        </is>
      </c>
      <c r="G68" s="24" t="inlineStr">
        <is>
          <t>本人：気が気でない。もう一方：どう接すればいいか分からない</t>
        </is>
      </c>
      <c r="H68" s="38" t="n">
        <v>4</v>
      </c>
      <c r="I68" s="38" t="n">
        <v>2</v>
      </c>
      <c r="J68" s="39">
        <f>H68*I68</f>
        <v/>
      </c>
      <c r="K68" s="39">
        <f>IF(J68&gt;=16,"最優先",IF(J68&gt;=12,"高",IF(J68&gt;=6,"中","低")))</f>
        <v/>
      </c>
      <c r="L68" s="24" t="inlineStr">
        <is>
          <t>判定日まではフライング検査をしないなど、2人でルールを決める</t>
        </is>
      </c>
      <c r="M68" s="24" t="inlineStr">
        <is>
          <t>気を紛らわせる予定を入れる</t>
        </is>
      </c>
      <c r="N68" s="24" t="inlineStr">
        <is>
          <t>毎周期同じ過ごし方をルーティン化する</t>
        </is>
      </c>
      <c r="O68" s="39" t="inlineStr">
        <is>
          <t>2人</t>
        </is>
      </c>
      <c r="P68" s="39" t="inlineStr">
        <is>
          <t>月1回</t>
        </is>
      </c>
      <c r="Q68" s="38" t="inlineStr">
        <is>
          <t>未着手</t>
        </is>
      </c>
    </row>
    <row r="69">
      <c r="A69" s="42" t="inlineStr">
        <is>
          <t>R067</t>
        </is>
      </c>
      <c r="B69" s="42" t="inlineStr">
        <is>
          <t>P8</t>
        </is>
      </c>
      <c r="C69" s="42" t="inlineStr">
        <is>
          <t>意思決定</t>
        </is>
      </c>
      <c r="D69" s="49" t="inlineStr">
        <is>
          <t>治療のステップアップの判断が先送りされる</t>
        </is>
      </c>
      <c r="E69" s="45" t="inlineStr">
        <is>
          <t>「もう1周期だけ」を繰り返す</t>
        </is>
      </c>
      <c r="F69" s="45" t="inlineStr">
        <is>
          <t>同じ治療を長く続けている</t>
        </is>
      </c>
      <c r="G69" s="45" t="inlineStr">
        <is>
          <t>慎重な側：まだ自然に期待したい。進めたい側：時間が惜しい</t>
        </is>
      </c>
      <c r="H69" s="38" t="n">
        <v>4</v>
      </c>
      <c r="I69" s="38" t="n">
        <v>4</v>
      </c>
      <c r="J69" s="42">
        <f>H69*I69</f>
        <v/>
      </c>
      <c r="K69" s="42">
        <f>IF(J69&gt;=16,"最優先",IF(J69&gt;=12,"高",IF(J69&gt;=6,"中","低")))</f>
        <v/>
      </c>
      <c r="L69" s="45" t="inlineStr">
        <is>
          <t>ステップアップの条件（回数・期間）を先に決めておく</t>
        </is>
      </c>
      <c r="M69" s="45" t="inlineStr">
        <is>
          <t>決めた条件に達したら機械的に次へ進む</t>
        </is>
      </c>
      <c r="N69" s="45" t="inlineStr">
        <is>
          <t>条件を医師と共有して、外から促してもらう</t>
        </is>
      </c>
      <c r="O69" s="42" t="inlineStr">
        <is>
          <t>2人</t>
        </is>
      </c>
      <c r="P69" s="42" t="inlineStr">
        <is>
          <t>月1回</t>
        </is>
      </c>
      <c r="Q69" s="38" t="inlineStr">
        <is>
          <t>未着手</t>
        </is>
      </c>
    </row>
    <row r="70">
      <c r="A70" s="39" t="inlineStr">
        <is>
          <t>R068</t>
        </is>
      </c>
      <c r="B70" s="39" t="inlineStr">
        <is>
          <t>P8</t>
        </is>
      </c>
      <c r="C70" s="39" t="inlineStr">
        <is>
          <t>お金</t>
        </is>
      </c>
      <c r="D70" s="50" t="inlineStr">
        <is>
          <t>先進医療・自由診療の追加で費用が青天井になる</t>
        </is>
      </c>
      <c r="E70" s="24" t="inlineStr">
        <is>
          <t>オプション検査・オプション治療の提案</t>
        </is>
      </c>
      <c r="F70" s="24" t="inlineStr">
        <is>
          <t>毎回追加費用が発生している</t>
        </is>
      </c>
      <c r="G70" s="24" t="inlineStr">
        <is>
          <t>受けたい側：可能性を上げたい。抑えたい側：エビデンスが不明</t>
        </is>
      </c>
      <c r="H70" s="38" t="n">
        <v>3</v>
      </c>
      <c r="I70" s="38" t="n">
        <v>4</v>
      </c>
      <c r="J70" s="39">
        <f>H70*I70</f>
        <v/>
      </c>
      <c r="K70" s="39">
        <f>IF(J70&gt;=16,"最優先",IF(J70&gt;=12,"高",IF(J70&gt;=6,"中","低")))</f>
        <v/>
      </c>
      <c r="L70" s="24" t="inlineStr">
        <is>
          <t>先進医療特約が使えるか確認する。オプションはエビデンスと費用を確認してから決める</t>
        </is>
      </c>
      <c r="M70" s="24" t="inlineStr">
        <is>
          <t>医師にエビデンスレベルを直接聞く。即決しない</t>
        </is>
      </c>
      <c r="N70" s="24" t="inlineStr">
        <is>
          <t>オプション費用も上限額に含めて管理する</t>
        </is>
      </c>
      <c r="O70" s="39" t="inlineStr">
        <is>
          <t>2人</t>
        </is>
      </c>
      <c r="P70" s="39" t="inlineStr">
        <is>
          <t>月1回</t>
        </is>
      </c>
      <c r="Q70" s="38" t="inlineStr">
        <is>
          <t>未着手</t>
        </is>
      </c>
    </row>
    <row r="71">
      <c r="A71" s="42" t="inlineStr">
        <is>
          <t>R069</t>
        </is>
      </c>
      <c r="B71" s="42" t="inlineStr">
        <is>
          <t>P8</t>
        </is>
      </c>
      <c r="C71" s="42" t="inlineStr">
        <is>
          <t>親族</t>
        </is>
      </c>
      <c r="D71" s="49" t="inlineStr">
        <is>
          <t>親からの不妊治療への口出し・偏見</t>
        </is>
      </c>
      <c r="E71" s="45" t="inlineStr">
        <is>
          <t>「自然に任せなさい」「うちの家系は」</t>
        </is>
      </c>
      <c r="F71" s="45" t="inlineStr">
        <is>
          <t>帰省後に落ち込む</t>
        </is>
      </c>
      <c r="G71" s="45" t="inlineStr">
        <is>
          <t>親：善意のつもり。本人：土足で踏み込まれている</t>
        </is>
      </c>
      <c r="H71" s="38" t="n">
        <v>3</v>
      </c>
      <c r="I71" s="38" t="n">
        <v>3</v>
      </c>
      <c r="J71" s="42">
        <f>H71*I71</f>
        <v/>
      </c>
      <c r="K71" s="42">
        <f>IF(J71&gt;=16,"最優先",IF(J71&gt;=12,"高",IF(J71&gt;=6,"中","低")))</f>
        <v/>
      </c>
      <c r="L71" s="45" t="inlineStr">
        <is>
          <t>治療の事実をどこまで伝えるか2人で決める。伝えないという選択も明示的に取る</t>
        </is>
      </c>
      <c r="M71" s="45" t="inlineStr">
        <is>
          <t>各自が自分の実親に「この話はしない」と伝える</t>
        </is>
      </c>
      <c r="N71" s="45" t="inlineStr">
        <is>
          <t>情報を渡す範囲を先に決めておく</t>
        </is>
      </c>
      <c r="O71" s="42" t="inlineStr">
        <is>
          <t>2人</t>
        </is>
      </c>
      <c r="P71" s="42" t="inlineStr">
        <is>
          <t>月1回</t>
        </is>
      </c>
      <c r="Q71" s="38" t="inlineStr">
        <is>
          <t>未着手</t>
        </is>
      </c>
    </row>
    <row r="72">
      <c r="A72" s="39" t="inlineStr">
        <is>
          <t>R070</t>
        </is>
      </c>
      <c r="B72" s="39" t="inlineStr">
        <is>
          <t>P8</t>
        </is>
      </c>
      <c r="C72" s="39" t="inlineStr">
        <is>
          <t>時間</t>
        </is>
      </c>
      <c r="D72" s="50" t="inlineStr">
        <is>
          <t>治療のスケジュールで生活の全てが決まってしまう</t>
        </is>
      </c>
      <c r="E72" s="24" t="inlineStr">
        <is>
          <t>旅行・イベント・仕事の予定が組めない</t>
        </is>
      </c>
      <c r="F72" s="24" t="inlineStr">
        <is>
          <t>先の予定を入れられない状態が続く</t>
        </is>
      </c>
      <c r="G72" s="24" t="inlineStr">
        <is>
          <t>どちらも：生活が治療に支配されている感覚</t>
        </is>
      </c>
      <c r="H72" s="38" t="n">
        <v>4</v>
      </c>
      <c r="I72" s="38" t="n">
        <v>3</v>
      </c>
      <c r="J72" s="39">
        <f>H72*I72</f>
        <v/>
      </c>
      <c r="K72" s="39">
        <f>IF(J72&gt;=16,"最優先",IF(J72&gt;=12,"高",IF(J72&gt;=6,"中","低")))</f>
        <v/>
      </c>
      <c r="L72" s="24" t="inlineStr">
        <is>
          <t>治療を休む周期をあらかじめ決めて、その周期に予定を入れる</t>
        </is>
      </c>
      <c r="M72" s="24" t="inlineStr">
        <is>
          <t>1周期休んで予定を優先する</t>
        </is>
      </c>
      <c r="N72" s="24" t="inlineStr">
        <is>
          <t>半年に1回は治療を休む月を作る</t>
        </is>
      </c>
      <c r="O72" s="39" t="inlineStr">
        <is>
          <t>2人</t>
        </is>
      </c>
      <c r="P72" s="39" t="inlineStr">
        <is>
          <t>月1回</t>
        </is>
      </c>
      <c r="Q72" s="38" t="inlineStr">
        <is>
          <t>未着手</t>
        </is>
      </c>
    </row>
    <row r="73">
      <c r="A73" s="42" t="inlineStr">
        <is>
          <t>R071</t>
        </is>
      </c>
      <c r="B73" s="42" t="inlineStr">
        <is>
          <t>P8</t>
        </is>
      </c>
      <c r="C73" s="42" t="inlineStr">
        <is>
          <t>健康</t>
        </is>
      </c>
      <c r="D73" s="49" t="inlineStr">
        <is>
          <t>妊娠判明後の流産で、話し合いの前提が崩れる</t>
        </is>
      </c>
      <c r="E73" s="45" t="inlineStr">
        <is>
          <t>初期流産（妊娠の約15%）</t>
        </is>
      </c>
      <c r="F73" s="45" t="inlineStr">
        <is>
          <t>早期に周囲へ報告してしまっている</t>
        </is>
      </c>
      <c r="G73" s="45" t="inlineStr">
        <is>
          <t>どちらも：喪失にどう向き合えばいいか分からない</t>
        </is>
      </c>
      <c r="H73" s="38" t="n">
        <v>3</v>
      </c>
      <c r="I73" s="38" t="n">
        <v>4</v>
      </c>
      <c r="J73" s="42">
        <f>H73*I73</f>
        <v/>
      </c>
      <c r="K73" s="42">
        <f>IF(J73&gt;=16,"最優先",IF(J73&gt;=12,"高",IF(J73&gt;=6,"中","低")))</f>
        <v/>
      </c>
      <c r="L73" s="45" t="inlineStr">
        <is>
          <t>報告のタイミングを2人で決めておく（安定期まで待つか）。初期流産の頻度を事前に知っておく</t>
        </is>
      </c>
      <c r="M73" s="45" t="inlineStr">
        <is>
          <t>無理に前を向かせない。医師に次の妊娠までの期間を確認する</t>
        </is>
      </c>
      <c r="N73" s="45" t="inlineStr">
        <is>
          <t>喪失を経験した後の休息期間を認める</t>
        </is>
      </c>
      <c r="O73" s="42" t="inlineStr">
        <is>
          <t>2人</t>
        </is>
      </c>
      <c r="P73" s="42" t="inlineStr">
        <is>
          <t>月1回</t>
        </is>
      </c>
      <c r="Q73" s="38" t="inlineStr">
        <is>
          <t>未着手</t>
        </is>
      </c>
    </row>
    <row r="74">
      <c r="A74" s="39" t="inlineStr">
        <is>
          <t>R072</t>
        </is>
      </c>
      <c r="B74" s="39" t="inlineStr">
        <is>
          <t>P9</t>
        </is>
      </c>
      <c r="C74" s="39" t="inlineStr">
        <is>
          <t>健康</t>
        </is>
      </c>
      <c r="D74" s="50" t="inlineStr">
        <is>
          <t>つわりへの無理解（「みんな通る道」）</t>
        </is>
      </c>
      <c r="E74" s="24" t="inlineStr">
        <is>
          <t>見た目に異常がないため軽く扱われる</t>
        </is>
      </c>
      <c r="F74" s="24" t="inlineStr">
        <is>
          <t>食べ物の話題を避ける／頼まなくなる／黙って耐える</t>
        </is>
      </c>
      <c r="G74" s="24" t="inlineStr">
        <is>
          <t>つらい側：24時間続く船酔い。もう一方：食べられないだけに見える</t>
        </is>
      </c>
      <c r="H74" s="38" t="n">
        <v>4</v>
      </c>
      <c r="I74" s="38" t="n">
        <v>4</v>
      </c>
      <c r="J74" s="39">
        <f>H74*I74</f>
        <v/>
      </c>
      <c r="K74" s="39">
        <f>IF(J74&gt;=16,"最優先",IF(J74&gt;=12,"高",IF(J74&gt;=6,"中","低")))</f>
        <v/>
      </c>
      <c r="L74" s="24" t="inlineStr">
        <is>
          <t>つわりの症状と期間を事前に2人で学ぶ。この時期は家事を「手伝う」ではなく「引き取る」と最初に決める。宅配・家事代行を先に契約しておく</t>
        </is>
      </c>
      <c r="M74" s="24" t="inlineStr">
        <is>
          <t>水も飲めない・体重5%減は妊娠悪阻なので受診。母性健康管理指導事項連絡カードで勤務調整する</t>
        </is>
      </c>
      <c r="N74" s="24" t="inlineStr">
        <is>
          <t>つわり期版の家事分担表を作り、症状が続く間はそれで回す</t>
        </is>
      </c>
      <c r="O74" s="39" t="inlineStr">
        <is>
          <t>2人</t>
        </is>
      </c>
      <c r="P74" s="39" t="inlineStr">
        <is>
          <t>月1回</t>
        </is>
      </c>
      <c r="Q74" s="38" t="inlineStr">
        <is>
          <t>未着手</t>
        </is>
      </c>
    </row>
    <row r="75">
      <c r="A75" s="42" t="inlineStr">
        <is>
          <t>R073</t>
        </is>
      </c>
      <c r="B75" s="42" t="inlineStr">
        <is>
          <t>P9</t>
        </is>
      </c>
      <c r="C75" s="42" t="inlineStr">
        <is>
          <t>意思決定</t>
        </is>
      </c>
      <c r="D75" s="49" t="inlineStr">
        <is>
          <t>出生前検査の是非で価値観が衝突する</t>
        </is>
      </c>
      <c r="E75" s="45" t="inlineStr">
        <is>
          <t>受けるか、受けたうえで結果をどうするか</t>
        </is>
      </c>
      <c r="F75" s="45" t="inlineStr">
        <is>
          <t>話し合いが結論に至らないまま週数が進む</t>
        </is>
      </c>
      <c r="G75" s="45" t="inlineStr">
        <is>
          <t>受けたい側：知って備えたい。受けたくない側：知っても選べない</t>
        </is>
      </c>
      <c r="H75" s="38" t="n">
        <v>3</v>
      </c>
      <c r="I75" s="38" t="n">
        <v>5</v>
      </c>
      <c r="J75" s="42">
        <f>H75*I75</f>
        <v/>
      </c>
      <c r="K75" s="42">
        <f>IF(J75&gt;=16,"最優先",IF(J75&gt;=12,"高",IF(J75&gt;=6,"中","低")))</f>
        <v/>
      </c>
      <c r="L75" s="45" t="inlineStr">
        <is>
          <t>「陽性だったらどうするか」を検査を受ける前に合意する。10週より前に話し始める（NIPTは10週から）</t>
        </is>
      </c>
      <c r="M75" s="45" t="inlineStr">
        <is>
          <t>遺伝カウンセリングを2人で受ける。結論が出ないなら「受けない」も明確な選択として合意する</t>
        </is>
      </c>
      <c r="N75" s="45" t="inlineStr">
        <is>
          <t>重い判断は期限から逆算して開始時期を決める</t>
        </is>
      </c>
      <c r="O75" s="42" t="inlineStr">
        <is>
          <t>2人</t>
        </is>
      </c>
      <c r="P75" s="42" t="inlineStr">
        <is>
          <t>月1回</t>
        </is>
      </c>
      <c r="Q75" s="38" t="inlineStr">
        <is>
          <t>未着手</t>
        </is>
      </c>
    </row>
    <row r="76">
      <c r="A76" s="39" t="inlineStr">
        <is>
          <t>R074</t>
        </is>
      </c>
      <c r="B76" s="39" t="inlineStr">
        <is>
          <t>P9</t>
        </is>
      </c>
      <c r="C76" s="39" t="inlineStr">
        <is>
          <t>生活</t>
        </is>
      </c>
      <c r="D76" s="50" t="inlineStr">
        <is>
          <t>パートナーの生活が妊娠前と変わらない</t>
        </is>
      </c>
      <c r="E76" s="24" t="inlineStr">
        <is>
          <t>飲み会・趣味・休日の過ごし方がそのまま</t>
        </is>
      </c>
      <c r="F76" s="24" t="inlineStr">
        <is>
          <t>「なんで自分だけ」が出る／体調の相談をしなくなる</t>
        </is>
      </c>
      <c r="G76" s="24" t="inlineStr">
        <is>
          <t>変わらない側：自分が我慢しても妊娠は代われない。もう一方：一緒に背負ってほしい</t>
        </is>
      </c>
      <c r="H76" s="38" t="n">
        <v>4</v>
      </c>
      <c r="I76" s="38" t="n">
        <v>4</v>
      </c>
      <c r="J76" s="39">
        <f>H76*I76</f>
        <v/>
      </c>
      <c r="K76" s="39">
        <f>IF(J76&gt;=16,"最優先",IF(J76&gt;=12,"高",IF(J76&gt;=6,"中","低")))</f>
        <v/>
      </c>
      <c r="L76" s="24" t="inlineStr">
        <is>
          <t>妊娠期に何を減らすかを事前に具体的に決める（飲み会は月◯回まで等）。妊婦健診に同行する日をカレンダーに入れる</t>
        </is>
      </c>
      <c r="M76" s="24" t="inlineStr">
        <is>
          <t>減らす量を数字で再交渉する。責める形ではなく「何を代わりにやるか」に変換する</t>
        </is>
      </c>
      <c r="N76" s="24" t="inlineStr">
        <is>
          <t>健診の同行・両親学級への参加を予定として固定する</t>
        </is>
      </c>
      <c r="O76" s="39" t="inlineStr">
        <is>
          <t>2人</t>
        </is>
      </c>
      <c r="P76" s="39" t="inlineStr">
        <is>
          <t>月1回</t>
        </is>
      </c>
      <c r="Q76" s="38" t="inlineStr">
        <is>
          <t>未着手</t>
        </is>
      </c>
    </row>
    <row r="77">
      <c r="A77" s="42" t="inlineStr">
        <is>
          <t>R075</t>
        </is>
      </c>
      <c r="B77" s="42" t="inlineStr">
        <is>
          <t>P9</t>
        </is>
      </c>
      <c r="C77" s="42" t="inlineStr">
        <is>
          <t>意思決定</t>
        </is>
      </c>
      <c r="D77" s="49" t="inlineStr">
        <is>
          <t>里帰りの是非で対立する</t>
        </is>
      </c>
      <c r="E77" s="45" t="inlineStr">
        <is>
          <t>実家に帰りたい側と、そばにいてほしい側</t>
        </is>
      </c>
      <c r="F77" s="45" t="inlineStr">
        <is>
          <t>決まらないまま30週を過ぎる</t>
        </is>
      </c>
      <c r="G77" s="45" t="inlineStr">
        <is>
          <t>帰りたい側：安心して休みたい。そばにいてほしい側：自分の子の最初の1ヶ月を逃したくない</t>
        </is>
      </c>
      <c r="H77" s="38" t="n">
        <v>3</v>
      </c>
      <c r="I77" s="38" t="n">
        <v>3</v>
      </c>
      <c r="J77" s="42">
        <f>H77*I77</f>
        <v/>
      </c>
      <c r="K77" s="42">
        <f>IF(J77&gt;=16,"最優先",IF(J77&gt;=12,"高",IF(J77&gt;=6,"中","低")))</f>
        <v/>
      </c>
      <c r="L77" s="45" t="inlineStr">
        <is>
          <t>里帰りのメリット（母体の休息）とデメリット（パートナーの育児参加が遅れる）を両方書き出して比較する。代替案（産後ケア、家事代行、実母に来てもらう）も並べる</t>
        </is>
      </c>
      <c r="M77" s="45" t="inlineStr">
        <is>
          <t>折衷案（産後2週間だけ実母に来てもらう等）を採る。20週までに決めないと里帰り先の分娩予約が取れない</t>
        </is>
      </c>
      <c r="N77" s="45" t="inlineStr">
        <is>
          <t>決めた後、パートナーの育児参加を確保する具体策（週末に通う等）をセットにする</t>
        </is>
      </c>
      <c r="O77" s="42" t="inlineStr">
        <is>
          <t>2人</t>
        </is>
      </c>
      <c r="P77" s="42" t="inlineStr">
        <is>
          <t>月1回</t>
        </is>
      </c>
      <c r="Q77" s="38" t="inlineStr">
        <is>
          <t>未着手</t>
        </is>
      </c>
    </row>
    <row r="78">
      <c r="A78" s="39" t="inlineStr">
        <is>
          <t>R076</t>
        </is>
      </c>
      <c r="B78" s="39" t="inlineStr">
        <is>
          <t>P9</t>
        </is>
      </c>
      <c r="C78" s="39" t="inlineStr">
        <is>
          <t>医療</t>
        </is>
      </c>
      <c r="D78" s="50" t="inlineStr">
        <is>
          <t>切迫流産・切迫早産で長期安静になり、生活が崩壊する</t>
        </is>
      </c>
      <c r="E78" s="24" t="inlineStr">
        <is>
          <t>医師から自宅安静・入院を指示される</t>
        </is>
      </c>
      <c r="F78" s="24" t="inlineStr">
        <is>
          <t>出血・張り・頸管長の短縮</t>
        </is>
      </c>
      <c r="G78" s="24" t="inlineStr">
        <is>
          <t>本人：動けない罪悪感。もう一方：突然家事と仕事を全部背負う</t>
        </is>
      </c>
      <c r="H78" s="38" t="n">
        <v>3</v>
      </c>
      <c r="I78" s="38" t="n">
        <v>4</v>
      </c>
      <c r="J78" s="39">
        <f>H78*I78</f>
        <v/>
      </c>
      <c r="K78" s="39">
        <f>IF(J78&gt;=16,"最優先",IF(J78&gt;=12,"高",IF(J78&gt;=6,"中","低")))</f>
        <v/>
      </c>
      <c r="L78" s="24" t="inlineStr">
        <is>
          <t>安静指示が出た場合の家事・仕事の代替手段を先に想定しておく（家事代行・宅配・実家の応援）</t>
        </is>
      </c>
      <c r="M78" s="24" t="inlineStr">
        <is>
          <t>即座に外注を投入する。無理に自分たちで回さない。傷病手当金の対象になる場合がある</t>
        </is>
      </c>
      <c r="N78" s="24" t="inlineStr">
        <is>
          <t>「安静指示が出たら即外注」を事前ルールにしておく</t>
        </is>
      </c>
      <c r="O78" s="39" t="inlineStr">
        <is>
          <t>2人</t>
        </is>
      </c>
      <c r="P78" s="39" t="inlineStr">
        <is>
          <t>月1回</t>
        </is>
      </c>
      <c r="Q78" s="38" t="inlineStr">
        <is>
          <t>未着手</t>
        </is>
      </c>
    </row>
    <row r="79">
      <c r="A79" s="42" t="inlineStr">
        <is>
          <t>R077</t>
        </is>
      </c>
      <c r="B79" s="42" t="inlineStr">
        <is>
          <t>P9</t>
        </is>
      </c>
      <c r="C79" s="42" t="inlineStr">
        <is>
          <t>コミュニケーション</t>
        </is>
      </c>
      <c r="D79" s="49" t="inlineStr">
        <is>
          <t>名前・行事・実家との関わりで対立する</t>
        </is>
      </c>
      <c r="E79" s="45" t="inlineStr">
        <is>
          <t>名前に親の意見が入る／行事の有無</t>
        </is>
      </c>
      <c r="F79" s="45" t="inlineStr">
        <is>
          <t>話が進まない／親の名前案が出てくる</t>
        </is>
      </c>
      <c r="G79" s="45" t="inlineStr">
        <is>
          <t>どちらも：譲れない部分がある</t>
        </is>
      </c>
      <c r="H79" s="38" t="n">
        <v>3</v>
      </c>
      <c r="I79" s="38" t="n">
        <v>3</v>
      </c>
      <c r="J79" s="42">
        <f>H79*I79</f>
        <v/>
      </c>
      <c r="K79" s="42">
        <f>IF(J79&gt;=16,"最優先",IF(J79&gt;=12,"高",IF(J79&gt;=6,"中","低")))</f>
        <v/>
      </c>
      <c r="L79" s="45" t="inlineStr">
        <is>
          <t>名前は2人だけで決めるか、親に相談するかを先に決める。行事はやる/やらないの基準を先に置く</t>
        </is>
      </c>
      <c r="M79" s="45" t="inlineStr">
        <is>
          <t>候補を出し合って持ち帰る。親には決定後に伝える</t>
        </is>
      </c>
      <c r="N79" s="45" t="inlineStr">
        <is>
          <t>「2人で決める領域」と「親に相談する領域」を線引きしておく</t>
        </is>
      </c>
      <c r="O79" s="42" t="inlineStr">
        <is>
          <t>2人</t>
        </is>
      </c>
      <c r="P79" s="42" t="inlineStr">
        <is>
          <t>月1回</t>
        </is>
      </c>
      <c r="Q79" s="38" t="inlineStr">
        <is>
          <t>未着手</t>
        </is>
      </c>
    </row>
    <row r="80">
      <c r="A80" s="39" t="inlineStr">
        <is>
          <t>R078</t>
        </is>
      </c>
      <c r="B80" s="39" t="inlineStr">
        <is>
          <t>P9</t>
        </is>
      </c>
      <c r="C80" s="39" t="inlineStr">
        <is>
          <t>キャリア</t>
        </is>
      </c>
      <c r="D80" s="50" t="inlineStr">
        <is>
          <t>つわり・体調不良で仕事の評価が下がる</t>
        </is>
      </c>
      <c r="E80" s="24" t="inlineStr">
        <is>
          <t>休みがちになる／繁忙期に働けない</t>
        </is>
      </c>
      <c r="F80" s="24" t="inlineStr">
        <is>
          <t>評価面談で指摘される／異動の打診</t>
        </is>
      </c>
      <c r="G80" s="24" t="inlineStr">
        <is>
          <t>本人：やむを得ない。会社：戦力として計算できない</t>
        </is>
      </c>
      <c r="H80" s="38" t="n">
        <v>3</v>
      </c>
      <c r="I80" s="38" t="n">
        <v>3</v>
      </c>
      <c r="J80" s="39">
        <f>H80*I80</f>
        <v/>
      </c>
      <c r="K80" s="39">
        <f>IF(J80&gt;=16,"最優先",IF(J80&gt;=12,"高",IF(J80&gt;=6,"中","低")))</f>
        <v/>
      </c>
      <c r="L80" s="24" t="inlineStr">
        <is>
          <t>母性健康管理指導事項連絡カードを使って正式に配慮を求める。産休までの業務計画を上司と共有する</t>
        </is>
      </c>
      <c r="M80" s="24" t="inlineStr">
        <is>
          <t>人事に相談する。不利益取扱いは法律で禁止されている</t>
        </is>
      </c>
      <c r="N80" s="24" t="inlineStr">
        <is>
          <t>産休・育休中の評価の扱いを人事に事前確認しておく</t>
        </is>
      </c>
      <c r="O80" s="39" t="inlineStr">
        <is>
          <t>2人</t>
        </is>
      </c>
      <c r="P80" s="39" t="inlineStr">
        <is>
          <t>月1回</t>
        </is>
      </c>
      <c r="Q80" s="38" t="inlineStr">
        <is>
          <t>未着手</t>
        </is>
      </c>
    </row>
    <row r="81">
      <c r="A81" s="42" t="inlineStr">
        <is>
          <t>R079</t>
        </is>
      </c>
      <c r="B81" s="42" t="inlineStr">
        <is>
          <t>P9</t>
        </is>
      </c>
      <c r="C81" s="42" t="inlineStr">
        <is>
          <t>住まい</t>
        </is>
      </c>
      <c r="D81" s="49" t="inlineStr">
        <is>
          <t>引っ越しのタイミングを逃す</t>
        </is>
      </c>
      <c r="E81" s="45" t="inlineStr">
        <is>
          <t>妊娠後期になってから住み替えを検討し始める</t>
        </is>
      </c>
      <c r="F81" s="45" t="inlineStr">
        <is>
          <t>8ヶ月以降に物件を探している</t>
        </is>
      </c>
      <c r="G81" s="45" t="inlineStr">
        <is>
          <t>どちらも：忙しくて後回しにしていた</t>
        </is>
      </c>
      <c r="H81" s="38" t="n">
        <v>3</v>
      </c>
      <c r="I81" s="38" t="n">
        <v>3</v>
      </c>
      <c r="J81" s="42">
        <f>H81*I81</f>
        <v/>
      </c>
      <c r="K81" s="42">
        <f>IF(J81&gt;=16,"最優先",IF(J81&gt;=12,"高",IF(J81&gt;=6,"中","低")))</f>
        <v/>
      </c>
      <c r="L81" s="45" t="inlineStr">
        <is>
          <t>妊娠中期（〜7ヶ月）までに引っ越すかどうかを判断する。認可の申込前に住民票を移す</t>
        </is>
      </c>
      <c r="M81" s="45" t="inlineStr">
        <is>
          <t>産後1年まで待つ。無理に動かない</t>
        </is>
      </c>
      <c r="N81" s="45" t="inlineStr">
        <is>
          <t>①ロードマップに引っ越しの判断期限を明記しておく</t>
        </is>
      </c>
      <c r="O81" s="42" t="inlineStr">
        <is>
          <t>2人</t>
        </is>
      </c>
      <c r="P81" s="42" t="inlineStr">
        <is>
          <t>月1回</t>
        </is>
      </c>
      <c r="Q81" s="38" t="inlineStr">
        <is>
          <t>未着手</t>
        </is>
      </c>
    </row>
    <row r="82">
      <c r="A82" s="39" t="inlineStr">
        <is>
          <t>R080</t>
        </is>
      </c>
      <c r="B82" s="39" t="inlineStr">
        <is>
          <t>P9</t>
        </is>
      </c>
      <c r="C82" s="39" t="inlineStr">
        <is>
          <t>保活</t>
        </is>
      </c>
      <c r="D82" s="50" t="inlineStr">
        <is>
          <t>保育園見学に行かないまま産後を迎える</t>
        </is>
      </c>
      <c r="E82" s="24" t="inlineStr">
        <is>
          <t>つわりや仕事で先延ばしになる</t>
        </is>
      </c>
      <c r="F82" s="24" t="inlineStr">
        <is>
          <t>見学予約を1件も入れていない</t>
        </is>
      </c>
      <c r="G82" s="24" t="inlineStr">
        <is>
          <t>どちらも：まだ先の話だと思っている</t>
        </is>
      </c>
      <c r="H82" s="38" t="n">
        <v>4</v>
      </c>
      <c r="I82" s="38" t="n">
        <v>4</v>
      </c>
      <c r="J82" s="39">
        <f>H82*I82</f>
        <v/>
      </c>
      <c r="K82" s="39">
        <f>IF(J82&gt;=16,"最優先",IF(J82&gt;=12,"高",IF(J82&gt;=6,"中","低")))</f>
        <v/>
      </c>
      <c r="L82" s="24" t="inlineStr">
        <is>
          <t>妊娠中期に見学を予定として固定する。産後は物理的に行けない</t>
        </is>
      </c>
      <c r="M82" s="24" t="inlineStr">
        <is>
          <t>オンライン見学・電話での問い合わせで代替する。認可外は特に情報が少ないので優先する</t>
        </is>
      </c>
      <c r="N82" s="24" t="inlineStr">
        <is>
          <t>保活の締切から逆算したスケジュールを①に入れておく</t>
        </is>
      </c>
      <c r="O82" s="39" t="inlineStr">
        <is>
          <t>2人</t>
        </is>
      </c>
      <c r="P82" s="39" t="inlineStr">
        <is>
          <t>月1回</t>
        </is>
      </c>
      <c r="Q82" s="38" t="inlineStr">
        <is>
          <t>未着手</t>
        </is>
      </c>
    </row>
    <row r="83">
      <c r="A83" s="42" t="inlineStr">
        <is>
          <t>R081</t>
        </is>
      </c>
      <c r="B83" s="42" t="inlineStr">
        <is>
          <t>P9</t>
        </is>
      </c>
      <c r="C83" s="42" t="inlineStr">
        <is>
          <t>健康</t>
        </is>
      </c>
      <c r="D83" s="49" t="inlineStr">
        <is>
          <t>妊娠糖尿病・妊娠高血圧で管理が必要になる</t>
        </is>
      </c>
      <c r="E83" s="45" t="inlineStr">
        <is>
          <t>24〜28週のスクリーニングで指摘</t>
        </is>
      </c>
      <c r="F83" s="45" t="inlineStr">
        <is>
          <t>血糖・血圧の数値が基準を超える</t>
        </is>
      </c>
      <c r="G83" s="45" t="inlineStr">
        <is>
          <t>本人：食事制限と自己血糖測定の負担。もう一方：何をすればいいか分からない</t>
        </is>
      </c>
      <c r="H83" s="38" t="n">
        <v>2</v>
      </c>
      <c r="I83" s="38" t="n">
        <v>4</v>
      </c>
      <c r="J83" s="42">
        <f>H83*I83</f>
        <v/>
      </c>
      <c r="K83" s="42">
        <f>IF(J83&gt;=16,"最優先",IF(J83&gt;=12,"高",IF(J83&gt;=6,"中","低")))</f>
        <v/>
      </c>
      <c r="L83" s="45" t="inlineStr">
        <is>
          <t>健診を欠かさず受ける。体重増加のペースを医師の指示に沿って管理する</t>
        </is>
      </c>
      <c r="M83" s="45" t="inlineStr">
        <is>
          <t>食事を2人で同じものにする（本人だけ制限させない）。管理栄養士の指導を2人で受ける</t>
        </is>
      </c>
      <c r="N83" s="45" t="inlineStr">
        <is>
          <t>食生活の変更は世帯単位で行う</t>
        </is>
      </c>
      <c r="O83" s="42" t="inlineStr">
        <is>
          <t>2人</t>
        </is>
      </c>
      <c r="P83" s="42" t="inlineStr">
        <is>
          <t>月1回</t>
        </is>
      </c>
      <c r="Q83" s="38" t="inlineStr">
        <is>
          <t>未着手</t>
        </is>
      </c>
    </row>
    <row r="84">
      <c r="A84" s="39" t="inlineStr">
        <is>
          <t>R082</t>
        </is>
      </c>
      <c r="B84" s="39" t="inlineStr">
        <is>
          <t>P9</t>
        </is>
      </c>
      <c r="C84" s="39" t="inlineStr">
        <is>
          <t>コミュニケーション</t>
        </is>
      </c>
      <c r="D84" s="50" t="inlineStr">
        <is>
          <t>妊娠の報告範囲・タイミングで揉める</t>
        </is>
      </c>
      <c r="E84" s="24" t="inlineStr">
        <is>
          <t>職場・友人・SNSへの報告</t>
        </is>
      </c>
      <c r="F84" s="24" t="inlineStr">
        <is>
          <t>片方が勝手に報告してしまう</t>
        </is>
      </c>
      <c r="G84" s="24" t="inlineStr">
        <is>
          <t>報告した側：嬉しくて。もう一方：勝手に決められた</t>
        </is>
      </c>
      <c r="H84" s="38" t="n">
        <v>3</v>
      </c>
      <c r="I84" s="38" t="n">
        <v>2</v>
      </c>
      <c r="J84" s="39">
        <f>H84*I84</f>
        <v/>
      </c>
      <c r="K84" s="39">
        <f>IF(J84&gt;=16,"最優先",IF(J84&gt;=12,"高",IF(J84&gt;=6,"中","低")))</f>
        <v/>
      </c>
      <c r="L84" s="24" t="inlineStr">
        <is>
          <t>誰にいつ伝えるかを2人でリスト化して決める</t>
        </is>
      </c>
      <c r="M84" s="24" t="inlineStr">
        <is>
          <t>報告済みの相手を共有し、以降は事前確認する</t>
        </is>
      </c>
      <c r="N84" s="24" t="inlineStr">
        <is>
          <t>出産報告・写真のSNS掲載も同じルールで運用する</t>
        </is>
      </c>
      <c r="O84" s="39" t="inlineStr">
        <is>
          <t>2人</t>
        </is>
      </c>
      <c r="P84" s="39" t="inlineStr">
        <is>
          <t>月1回</t>
        </is>
      </c>
      <c r="Q84" s="38" t="inlineStr">
        <is>
          <t>未着手</t>
        </is>
      </c>
    </row>
    <row r="85">
      <c r="A85" s="42" t="inlineStr">
        <is>
          <t>R083</t>
        </is>
      </c>
      <c r="B85" s="42" t="inlineStr">
        <is>
          <t>P9</t>
        </is>
      </c>
      <c r="C85" s="42" t="inlineStr">
        <is>
          <t>お金</t>
        </is>
      </c>
      <c r="D85" s="49" t="inlineStr">
        <is>
          <t>妊娠中の出費が想定を超える</t>
        </is>
      </c>
      <c r="E85" s="45" t="inlineStr">
        <is>
          <t>健診の自己負担・マタニティ用品・産院の追加費用</t>
        </is>
      </c>
      <c r="F85" s="45" t="inlineStr">
        <is>
          <t>予算を立てずに支出している</t>
        </is>
      </c>
      <c r="G85" s="45" t="inlineStr">
        <is>
          <t>どちらも：必要なものだから仕方ないと思っている</t>
        </is>
      </c>
      <c r="H85" s="38" t="n">
        <v>3</v>
      </c>
      <c r="I85" s="38" t="n">
        <v>2</v>
      </c>
      <c r="J85" s="42">
        <f>H85*I85</f>
        <v/>
      </c>
      <c r="K85" s="42">
        <f>IF(J85&gt;=16,"最優先",IF(J85&gt;=12,"高",IF(J85&gt;=6,"中","低")))</f>
        <v/>
      </c>
      <c r="L85" s="45" t="inlineStr">
        <is>
          <t>妊婦健診の自己負担・マタニティ用品・産院費用を項目別に見積もる。医療費控除のため領収書を全部保管する</t>
        </is>
      </c>
      <c r="M85" s="45" t="inlineStr">
        <is>
          <t>残りの支出を洗い出して、優先順位をつける</t>
        </is>
      </c>
      <c r="N85" s="45" t="inlineStr">
        <is>
          <t>出産費用と育児用品の予算を分けて管理する</t>
        </is>
      </c>
      <c r="O85" s="42" t="inlineStr">
        <is>
          <t>2人</t>
        </is>
      </c>
      <c r="P85" s="42" t="inlineStr">
        <is>
          <t>月1回</t>
        </is>
      </c>
      <c r="Q85" s="38" t="inlineStr">
        <is>
          <t>未着手</t>
        </is>
      </c>
    </row>
    <row r="86">
      <c r="A86" s="39" t="inlineStr">
        <is>
          <t>R084</t>
        </is>
      </c>
      <c r="B86" s="39" t="inlineStr">
        <is>
          <t>P10</t>
        </is>
      </c>
      <c r="C86" s="39" t="inlineStr">
        <is>
          <t>準備</t>
        </is>
      </c>
      <c r="D86" s="50" t="inlineStr">
        <is>
          <t>産後の生活設計をせずに出産日を迎える</t>
        </is>
      </c>
      <c r="E86" s="24" t="inlineStr">
        <is>
          <t>モノは買ったが、誰が何をやるかを決めていない</t>
        </is>
      </c>
      <c r="F86" s="24" t="inlineStr">
        <is>
          <t>パートナーの育休の話が具体化していない／外注先を調べていない</t>
        </is>
      </c>
      <c r="G86" s="24" t="inlineStr">
        <is>
          <t>どちらも：生まれてから考えればいいと思っている</t>
        </is>
      </c>
      <c r="H86" s="38" t="n">
        <v>4</v>
      </c>
      <c r="I86" s="38" t="n">
        <v>5</v>
      </c>
      <c r="J86" s="39">
        <f>H86*I86</f>
        <v/>
      </c>
      <c r="K86" s="39">
        <f>IF(J86&gt;=16,"最優先",IF(J86&gt;=12,"高",IF(J86&gt;=6,"中","低")))</f>
        <v/>
      </c>
      <c r="L86" s="24" t="inlineStr">
        <is>
          <t>パートナーの育休の取り方（時期と分割）、夜間対応の分担、外注の契約、義実家の来訪ルールを妊娠後期に全部決めて紙にする</t>
        </is>
      </c>
      <c r="M86" s="24" t="inlineStr">
        <is>
          <t>産後1週目に緊急で決める。この段階では判断力が落ちているので、外注に金を払う方向に倒す</t>
        </is>
      </c>
      <c r="N86" s="24" t="inlineStr">
        <is>
          <t>「産後に決める」を禁止し、全部妊娠中に前倒しする</t>
        </is>
      </c>
      <c r="O86" s="39" t="inlineStr">
        <is>
          <t>2人</t>
        </is>
      </c>
      <c r="P86" s="39" t="inlineStr">
        <is>
          <t>月1回</t>
        </is>
      </c>
      <c r="Q86" s="38" t="inlineStr">
        <is>
          <t>未着手</t>
        </is>
      </c>
    </row>
    <row r="87">
      <c r="A87" s="42" t="inlineStr">
        <is>
          <t>R085</t>
        </is>
      </c>
      <c r="B87" s="42" t="inlineStr">
        <is>
          <t>P10</t>
        </is>
      </c>
      <c r="C87" s="42" t="inlineStr">
        <is>
          <t>医療</t>
        </is>
      </c>
      <c r="D87" s="49" t="inlineStr">
        <is>
          <t>RSVワクチンの接種期間（28週0日〜36週6日）を逃す</t>
        </is>
      </c>
      <c r="E87" s="45" t="inlineStr">
        <is>
          <t>存在を知らない／予約が取れない</t>
        </is>
      </c>
      <c r="F87" s="45" t="inlineStr">
        <is>
          <t>36週を過ぎている</t>
        </is>
      </c>
      <c r="G87" s="45" t="inlineStr">
        <is>
          <t>どちらも：新しい制度を知らなかった</t>
        </is>
      </c>
      <c r="H87" s="38" t="n">
        <v>3</v>
      </c>
      <c r="I87" s="38" t="n">
        <v>3</v>
      </c>
      <c r="J87" s="42">
        <f>H87*I87</f>
        <v/>
      </c>
      <c r="K87" s="42">
        <f>IF(J87&gt;=16,"最優先",IF(J87&gt;=12,"高",IF(J87&gt;=6,"中","低")))</f>
        <v/>
      </c>
      <c r="L87" s="45" t="inlineStr">
        <is>
          <t>28週になったら産科で接種の可否を確認する。産科で扱いがなければ内科でも接種できる</t>
        </is>
      </c>
      <c r="M87" s="45" t="inlineStr">
        <is>
          <t>出生後の乳児へのニルセビマブ（ベイフォータス）を小児科に相談する</t>
        </is>
      </c>
      <c r="N87" s="45" t="inlineStr">
        <is>
          <t>妊娠後期のタスクリストに固定で入れておく</t>
        </is>
      </c>
      <c r="O87" s="42" t="inlineStr">
        <is>
          <t>2人</t>
        </is>
      </c>
      <c r="P87" s="42" t="inlineStr">
        <is>
          <t>月1回</t>
        </is>
      </c>
      <c r="Q87" s="38" t="inlineStr">
        <is>
          <t>未着手</t>
        </is>
      </c>
    </row>
    <row r="88">
      <c r="A88" s="39" t="inlineStr">
        <is>
          <t>R086</t>
        </is>
      </c>
      <c r="B88" s="39" t="inlineStr">
        <is>
          <t>P10</t>
        </is>
      </c>
      <c r="C88" s="39" t="inlineStr">
        <is>
          <t>用品</t>
        </is>
      </c>
      <c r="D88" s="50" t="inlineStr">
        <is>
          <t>育児用品を買いすぎる／必要な物が足りない</t>
        </is>
      </c>
      <c r="E88" s="24" t="inlineStr">
        <is>
          <t>情報過多で不安になり、片っ端から買う</t>
        </is>
      </c>
      <c r="F88" s="24" t="inlineStr">
        <is>
          <t>使わない物が増える／新生児サイズのおむつを大量に買った</t>
        </is>
      </c>
      <c r="G88" s="24" t="inlineStr">
        <is>
          <t>買う側：不安を消したい。もう一方：無駄遣いに見える</t>
        </is>
      </c>
      <c r="H88" s="38" t="n">
        <v>4</v>
      </c>
      <c r="I88" s="38" t="n">
        <v>2</v>
      </c>
      <c r="J88" s="39">
        <f>H88*I88</f>
        <v/>
      </c>
      <c r="K88" s="39">
        <f>IF(J88&gt;=16,"最優先",IF(J88&gt;=12,"高",IF(J88&gt;=6,"中","低")))</f>
        <v/>
      </c>
      <c r="L88" s="24" t="inlineStr">
        <is>
          <t>「産前に必ず要る物」と「産後でいい物」を分ける。おむつは新生児サイズ1〜2袋だけ。バウンサー等はレンタルで試す</t>
        </is>
      </c>
      <c r="M88" s="24" t="inlineStr">
        <is>
          <t>未開封の物は返品する。使わない物はフリマかレンタルに切り替える</t>
        </is>
      </c>
      <c r="N88" s="24" t="inlineStr">
        <is>
          <t>買い物リストを「必須／後で／レンタル」の3分類で管理する</t>
        </is>
      </c>
      <c r="O88" s="39" t="inlineStr">
        <is>
          <t>2人</t>
        </is>
      </c>
      <c r="P88" s="39" t="inlineStr">
        <is>
          <t>月1回</t>
        </is>
      </c>
      <c r="Q88" s="38" t="inlineStr">
        <is>
          <t>未着手</t>
        </is>
      </c>
    </row>
    <row r="89">
      <c r="A89" s="42" t="inlineStr">
        <is>
          <t>R087</t>
        </is>
      </c>
      <c r="B89" s="42" t="inlineStr">
        <is>
          <t>P10</t>
        </is>
      </c>
      <c r="C89" s="42" t="inlineStr">
        <is>
          <t>手続き</t>
        </is>
      </c>
      <c r="D89" s="49" t="inlineStr">
        <is>
          <t>父の育休が形だけになる／取れない</t>
        </is>
      </c>
      <c r="E89" s="45" t="inlineStr">
        <is>
          <t>職場の空気、代替要員がいない</t>
        </is>
      </c>
      <c r="F89" s="45" t="inlineStr">
        <is>
          <t>上司に言い出せていない／期間が2週間以下</t>
        </is>
      </c>
      <c r="G89" s="45" t="inlineStr">
        <is>
          <t>本人：職場に迷惑がかかる。もう一方：制度があるのに使わないのは選択の問題</t>
        </is>
      </c>
      <c r="H89" s="38" t="n">
        <v>4</v>
      </c>
      <c r="I89" s="38" t="n">
        <v>5</v>
      </c>
      <c r="J89" s="42">
        <f>H89*I89</f>
        <v/>
      </c>
      <c r="K89" s="42">
        <f>IF(J89&gt;=16,"最優先",IF(J89&gt;=12,"高",IF(J89&gt;=6,"中","低")))</f>
        <v/>
      </c>
      <c r="L89" s="45" t="inlineStr">
        <is>
          <t>妊娠後期までに正式に申し出る（産後パパ育休は原則2週間前、育休は1ヶ月前）。引き継ぎ計画を先に作って提示する</t>
        </is>
      </c>
      <c r="M89" s="45" t="inlineStr">
        <is>
          <t>有給・在宅勤務・時短を組み合わせて穴を埋める。人事に直接相談する（育休は労働者の権利）</t>
        </is>
      </c>
      <c r="N89" s="45" t="inlineStr">
        <is>
          <t>育休を分割し、生後1〜3ヶ月と慣らし保育期にも配分する</t>
        </is>
      </c>
      <c r="O89" s="42" t="inlineStr">
        <is>
          <t>2人</t>
        </is>
      </c>
      <c r="P89" s="42" t="inlineStr">
        <is>
          <t>月1回</t>
        </is>
      </c>
      <c r="Q89" s="38" t="inlineStr">
        <is>
          <t>未着手</t>
        </is>
      </c>
    </row>
    <row r="90">
      <c r="A90" s="39" t="inlineStr">
        <is>
          <t>R088</t>
        </is>
      </c>
      <c r="B90" s="39" t="inlineStr">
        <is>
          <t>P10</t>
        </is>
      </c>
      <c r="C90" s="39" t="inlineStr">
        <is>
          <t>準備</t>
        </is>
      </c>
      <c r="D90" s="50" t="inlineStr">
        <is>
          <t>陣痛時にパートナーと連絡がつかない</t>
        </is>
      </c>
      <c r="E90" s="24" t="inlineStr">
        <is>
          <t>出張中・会議中・深夜</t>
        </is>
      </c>
      <c r="F90" s="24" t="inlineStr">
        <is>
          <t>連絡フローを決めていない</t>
        </is>
      </c>
      <c r="G90" s="24" t="inlineStr">
        <is>
          <t>本人：一人で不安。もう一方：気づけなかった</t>
        </is>
      </c>
      <c r="H90" s="38" t="n">
        <v>3</v>
      </c>
      <c r="I90" s="38" t="n">
        <v>4</v>
      </c>
      <c r="J90" s="39">
        <f>H90*I90</f>
        <v/>
      </c>
      <c r="K90" s="39">
        <f>IF(J90&gt;=16,"最優先",IF(J90&gt;=12,"高",IF(J90&gt;=6,"中","低")))</f>
        <v/>
      </c>
      <c r="L90" s="24" t="inlineStr">
        <is>
          <t>平日昼・深夜・出張中の3パターンの動きを決めて紙に書く。陣痛タクシーに事前登録する。第2連絡先も決める</t>
        </is>
      </c>
      <c r="M90" s="24" t="inlineStr">
        <is>
          <t>第2連絡先（実母・友人）に連絡する。タクシーで産院へ向かう</t>
        </is>
      </c>
      <c r="N90" s="24" t="inlineStr">
        <is>
          <t>パートナーの出張・遠出は臨月に入ったら制限する</t>
        </is>
      </c>
      <c r="O90" s="39" t="inlineStr">
        <is>
          <t>2人</t>
        </is>
      </c>
      <c r="P90" s="39" t="inlineStr">
        <is>
          <t>月1回</t>
        </is>
      </c>
      <c r="Q90" s="38" t="inlineStr">
        <is>
          <t>未着手</t>
        </is>
      </c>
    </row>
    <row r="91">
      <c r="A91" s="42" t="inlineStr">
        <is>
          <t>R089</t>
        </is>
      </c>
      <c r="B91" s="42" t="inlineStr">
        <is>
          <t>P10</t>
        </is>
      </c>
      <c r="C91" s="42" t="inlineStr">
        <is>
          <t>お金</t>
        </is>
      </c>
      <c r="D91" s="49" t="inlineStr">
        <is>
          <t>給付金の入金が遅く、生活費が足りなくなる</t>
        </is>
      </c>
      <c r="E91" s="45" t="inlineStr">
        <is>
          <t>出産手当金・育休給付の初回入金は産後2〜4ヶ月後</t>
        </is>
      </c>
      <c r="F91" s="45" t="inlineStr">
        <is>
          <t>手元の現金が生活費2ヶ月分を切っている</t>
        </is>
      </c>
      <c r="G91" s="45" t="inlineStr">
        <is>
          <t>どちらも：制度があるから大丈夫だと思っている</t>
        </is>
      </c>
      <c r="H91" s="38" t="n">
        <v>3</v>
      </c>
      <c r="I91" s="38" t="n">
        <v>4</v>
      </c>
      <c r="J91" s="42">
        <f>H91*I91</f>
        <v/>
      </c>
      <c r="K91" s="42">
        <f>IF(J91&gt;=16,"最優先",IF(J91&gt;=12,"高",IF(J91&gt;=6,"中","低")))</f>
        <v/>
      </c>
      <c r="L91" s="45" t="inlineStr">
        <is>
          <t>産後1年の資金繰り表を作り、入金時期を月別に並べる。生活費3〜4ヶ月分の現金を確保する</t>
        </is>
      </c>
      <c r="M91" s="45" t="inlineStr">
        <is>
          <t>一時的に貯蓄を取り崩す。会社の前借り制度や自治体の貸付制度を確認する</t>
        </is>
      </c>
      <c r="N91" s="45" t="inlineStr">
        <is>
          <t>入金と支出のズレを常に表で管理する</t>
        </is>
      </c>
      <c r="O91" s="42" t="inlineStr">
        <is>
          <t>2人</t>
        </is>
      </c>
      <c r="P91" s="42" t="inlineStr">
        <is>
          <t>月1回</t>
        </is>
      </c>
      <c r="Q91" s="38" t="inlineStr">
        <is>
          <t>未着手</t>
        </is>
      </c>
    </row>
    <row r="92">
      <c r="A92" s="39" t="inlineStr">
        <is>
          <t>R090</t>
        </is>
      </c>
      <c r="B92" s="39" t="inlineStr">
        <is>
          <t>P10</t>
        </is>
      </c>
      <c r="C92" s="39" t="inlineStr">
        <is>
          <t>親族</t>
        </is>
      </c>
      <c r="D92" s="50" t="inlineStr">
        <is>
          <t>義実家の来訪スケジュールが本人不在で決まる</t>
        </is>
      </c>
      <c r="E92" s="24" t="inlineStr">
        <is>
          <t>親同士や片方の親と勝手に日程が決まる</t>
        </is>
      </c>
      <c r="F92" s="24" t="inlineStr">
        <is>
          <t>「◯日に行くって」と事後で聞かされる</t>
        </is>
      </c>
      <c r="G92" s="24" t="inlineStr">
        <is>
          <t>決めた側：喜ばせたい。本人：自分の体と生活が考慮されていない</t>
        </is>
      </c>
      <c r="H92" s="38" t="n">
        <v>4</v>
      </c>
      <c r="I92" s="38" t="n">
        <v>4</v>
      </c>
      <c r="J92" s="39">
        <f>H92*I92</f>
        <v/>
      </c>
      <c r="K92" s="39">
        <f>IF(J92&gt;=16,"最優先",IF(J92&gt;=12,"高",IF(J92&gt;=6,"中","低")))</f>
        <v/>
      </c>
      <c r="L92" s="24" t="inlineStr">
        <is>
          <t>来訪ルール（時期・滞在時間・宿泊の可否・何をしてもらうか）を妊娠中に決め、各自が自分の実親に伝える</t>
        </is>
      </c>
      <c r="M92" s="24" t="inlineStr">
        <is>
          <t>パートナーが自分の親に短縮・延期を伝える。本人に断らせない</t>
        </is>
      </c>
      <c r="N92" s="24" t="inlineStr">
        <is>
          <t>全ての来訪は本人の同意を経てから確定する運用にする</t>
        </is>
      </c>
      <c r="O92" s="39" t="inlineStr">
        <is>
          <t>2人</t>
        </is>
      </c>
      <c r="P92" s="39" t="inlineStr">
        <is>
          <t>月1回</t>
        </is>
      </c>
      <c r="Q92" s="38" t="inlineStr">
        <is>
          <t>未着手</t>
        </is>
      </c>
    </row>
    <row r="93">
      <c r="A93" s="42" t="inlineStr">
        <is>
          <t>R091</t>
        </is>
      </c>
      <c r="B93" s="42" t="inlineStr">
        <is>
          <t>P10</t>
        </is>
      </c>
      <c r="C93" s="42" t="inlineStr">
        <is>
          <t>健康</t>
        </is>
      </c>
      <c r="D93" s="49" t="inlineStr">
        <is>
          <t>臨月の不安・不眠で情緒が不安定になる</t>
        </is>
      </c>
      <c r="E93" s="45" t="inlineStr">
        <is>
          <t>出産への恐怖、体の重さ、眠れない</t>
        </is>
      </c>
      <c r="F93" s="45" t="inlineStr">
        <is>
          <t>泣きやすい／眠れないと訴える</t>
        </is>
      </c>
      <c r="G93" s="45" t="inlineStr">
        <is>
          <t>本人：怖い。もう一方：どうしていいか分からない</t>
        </is>
      </c>
      <c r="H93" s="38" t="n">
        <v>3</v>
      </c>
      <c r="I93" s="38" t="n">
        <v>2</v>
      </c>
      <c r="J93" s="42">
        <f>H93*I93</f>
        <v/>
      </c>
      <c r="K93" s="42">
        <f>IF(J93&gt;=16,"最優先",IF(J93&gt;=12,"高",IF(J93&gt;=6,"中","低")))</f>
        <v/>
      </c>
      <c r="L93" s="45" t="inlineStr">
        <is>
          <t>バースプランを一緒に作り、出産の流れを2人で理解する。不安を話す時間を毎日5分作る</t>
        </is>
      </c>
      <c r="M93" s="45" t="inlineStr">
        <is>
          <t>話を聞くだけでよい（解決策を出さない）。産院の助産師に相談する</t>
        </is>
      </c>
      <c r="N93" s="45" t="inlineStr">
        <is>
          <t>出産の知識を2人で共有しておく</t>
        </is>
      </c>
      <c r="O93" s="42" t="inlineStr">
        <is>
          <t>2人</t>
        </is>
      </c>
      <c r="P93" s="42" t="inlineStr">
        <is>
          <t>月1回</t>
        </is>
      </c>
      <c r="Q93" s="38" t="inlineStr">
        <is>
          <t>未着手</t>
        </is>
      </c>
    </row>
    <row r="94">
      <c r="A94" s="39" t="inlineStr">
        <is>
          <t>R092</t>
        </is>
      </c>
      <c r="B94" s="39" t="inlineStr">
        <is>
          <t>P11</t>
        </is>
      </c>
      <c r="C94" s="39" t="inlineStr">
        <is>
          <t>健康</t>
        </is>
      </c>
      <c r="D94" s="50" t="inlineStr">
        <is>
          <t>産後の身体的ダメージが理解されず、母が休めない</t>
        </is>
      </c>
      <c r="E94" s="24" t="inlineStr">
        <is>
          <t>「動けているから大丈夫」に見える</t>
        </is>
      </c>
      <c r="F94" s="24" t="inlineStr">
        <is>
          <t>退院直後から家事をしている／来客対応をしている</t>
        </is>
      </c>
      <c r="G94" s="24" t="inlineStr">
        <is>
          <t>動いている側：やらないと回らない。もう一方：本人がやりたそうに見える</t>
        </is>
      </c>
      <c r="H94" s="38" t="n">
        <v>5</v>
      </c>
      <c r="I94" s="38" t="n">
        <v>5</v>
      </c>
      <c r="J94" s="39">
        <f>H94*I94</f>
        <v/>
      </c>
      <c r="K94" s="39">
        <f>IF(J94&gt;=16,"最優先",IF(J94&gt;=12,"高",IF(J94&gt;=6,"中","低")))</f>
        <v/>
      </c>
      <c r="L94" s="24" t="inlineStr">
        <is>
          <t>産後の体は全治1〜2ヶ月の重傷であることを事前に共有する。産後3週間は横になっているのが仕事と決めておく。家事・来客対応・手続きは全部パートナー側</t>
        </is>
      </c>
      <c r="M94" s="24" t="inlineStr">
        <is>
          <t>パートナーが家事と来客を強制的に止める。産後ケア事業・家事代行を即日投入する</t>
        </is>
      </c>
      <c r="N94" s="24" t="inlineStr">
        <is>
          <t>「動けるから動く」を止める仕組み（家事を物理的にできなくする、外注を入れる）にする</t>
        </is>
      </c>
      <c r="O94" s="39" t="inlineStr">
        <is>
          <t>2人</t>
        </is>
      </c>
      <c r="P94" s="39" t="inlineStr">
        <is>
          <t>月1回</t>
        </is>
      </c>
      <c r="Q94" s="38" t="inlineStr">
        <is>
          <t>未着手</t>
        </is>
      </c>
    </row>
    <row r="95">
      <c r="A95" s="42" t="inlineStr">
        <is>
          <t>R093</t>
        </is>
      </c>
      <c r="B95" s="42" t="inlineStr">
        <is>
          <t>P11</t>
        </is>
      </c>
      <c r="C95" s="42" t="inlineStr">
        <is>
          <t>親族</t>
        </is>
      </c>
      <c r="D95" s="49" t="inlineStr">
        <is>
          <t>義実家の来訪で母が休めない／気を使い続ける</t>
        </is>
      </c>
      <c r="E95" s="45" t="inlineStr">
        <is>
          <t>退院直後の訪問、長時間の滞在、泊まり込み</t>
        </is>
      </c>
      <c r="F95" s="45" t="inlineStr">
        <is>
          <t>来訪の予定が本人の同意なく決まっている／授乳中に人がいる</t>
        </is>
      </c>
      <c r="G95" s="45" t="inlineStr">
        <is>
          <t>来る側：手伝いに来た。本人：客の相手をする体力がない</t>
        </is>
      </c>
      <c r="H95" s="38" t="n">
        <v>4</v>
      </c>
      <c r="I95" s="38" t="n">
        <v>4</v>
      </c>
      <c r="J95" s="42">
        <f>H95*I95</f>
        <v/>
      </c>
      <c r="K95" s="42">
        <f>IF(J95&gt;=16,"最優先",IF(J95&gt;=12,"高",IF(J95&gt;=6,"中","低")))</f>
        <v/>
      </c>
      <c r="L95" s="45" t="inlineStr">
        <is>
          <t>来訪ルールを妊娠中に決め、各自が自分の実親に伝える。「来るなら何をしてほしいか」まで具体化する</t>
        </is>
      </c>
      <c r="M95" s="45" t="inlineStr">
        <is>
          <t>パートナーが自分の親に短縮・延期を伝える。母に断らせない</t>
        </is>
      </c>
      <c r="N95" s="45" t="inlineStr">
        <is>
          <t>来訪の可否は本人が当日決めてよいと事前に伝えておく</t>
        </is>
      </c>
      <c r="O95" s="42" t="inlineStr">
        <is>
          <t>2人</t>
        </is>
      </c>
      <c r="P95" s="42" t="inlineStr">
        <is>
          <t>月1回</t>
        </is>
      </c>
      <c r="Q95" s="38" t="inlineStr">
        <is>
          <t>未着手</t>
        </is>
      </c>
    </row>
    <row r="96">
      <c r="A96" s="39" t="inlineStr">
        <is>
          <t>R094</t>
        </is>
      </c>
      <c r="B96" s="39" t="inlineStr">
        <is>
          <t>P11</t>
        </is>
      </c>
      <c r="C96" s="39" t="inlineStr">
        <is>
          <t>健康</t>
        </is>
      </c>
      <c r="D96" s="50" t="inlineStr">
        <is>
          <t>睡眠不足による攻撃性で、些細なことが激しい喧嘩になる</t>
        </is>
      </c>
      <c r="E96" s="24" t="inlineStr">
        <is>
          <t>3時間ごとの授乳、連続睡眠が取れない</t>
        </is>
      </c>
      <c r="F96" s="24" t="inlineStr">
        <is>
          <t>言い方がきつくなる／泣く／無視する</t>
        </is>
      </c>
      <c r="G96" s="24" t="inlineStr">
        <is>
          <t>どちらも：限界で、相手のほうが楽をしているように見える</t>
        </is>
      </c>
      <c r="H96" s="38" t="n">
        <v>5</v>
      </c>
      <c r="I96" s="38" t="n">
        <v>4</v>
      </c>
      <c r="J96" s="39">
        <f>H96*I96</f>
        <v/>
      </c>
      <c r="K96" s="39">
        <f>IF(J96&gt;=16,"最優先",IF(J96&gt;=12,"高",IF(J96&gt;=6,"中","低")))</f>
        <v/>
      </c>
      <c r="L96" s="24" t="inlineStr">
        <is>
          <t>夜間を時間で機械的に分割する（例：21-2時／2-7時）。「気づいた方が起きる」は必ず片方に偏るので採用しない。日中にどちらかがまとまって寝る時間を確保する</t>
        </is>
      </c>
      <c r="M96" s="24" t="inlineStr">
        <is>
          <t>睡眠不足下の会話は結論を出さない。48時間後に持ち越して話す、をルールにする</t>
        </is>
      </c>
      <c r="N96" s="24" t="inlineStr">
        <is>
          <t>睡眠時間を記録して、偏りを数字で見る</t>
        </is>
      </c>
      <c r="O96" s="39" t="inlineStr">
        <is>
          <t>2人</t>
        </is>
      </c>
      <c r="P96" s="39" t="inlineStr">
        <is>
          <t>月1回</t>
        </is>
      </c>
      <c r="Q96" s="38" t="inlineStr">
        <is>
          <t>未着手</t>
        </is>
      </c>
    </row>
    <row r="97">
      <c r="A97" s="42" t="inlineStr">
        <is>
          <t>R095</t>
        </is>
      </c>
      <c r="B97" s="42" t="inlineStr">
        <is>
          <t>P11</t>
        </is>
      </c>
      <c r="C97" s="42" t="inlineStr">
        <is>
          <t>健康</t>
        </is>
      </c>
      <c r="D97" s="49" t="inlineStr">
        <is>
          <t>産後うつ・ガルガル期を見落とす</t>
        </is>
      </c>
      <c r="E97" s="45" t="inlineStr">
        <is>
          <t>ホルモン変動、孤立、睡眠不足</t>
        </is>
      </c>
      <c r="F97" s="45" t="inlineStr">
        <is>
          <t>眠れない／涙が止まらない／赤ちゃんが可愛く思えない／自分を責め続ける／2週間以上続く</t>
        </is>
      </c>
      <c r="G97" s="45" t="inlineStr">
        <is>
          <t>本人：自分がおかしいと言えない。もう一方：性格が変わったように見える</t>
        </is>
      </c>
      <c r="H97" s="38" t="n">
        <v>3</v>
      </c>
      <c r="I97" s="38" t="n">
        <v>5</v>
      </c>
      <c r="J97" s="42">
        <f>H97*I97</f>
        <v/>
      </c>
      <c r="K97" s="42">
        <f>IF(J97&gt;=16,"最優先",IF(J97&gt;=12,"高",IF(J97&gt;=6,"中","低")))</f>
        <v/>
      </c>
      <c r="L97" s="45" t="inlineStr">
        <is>
          <t>2週間健診のEPDSを必ず受ける。パートナーが週1回、上記5項目を意識的にチェックする。マタニティブルーズ（2週間で軽快）との違いを事前に知っておく</t>
        </is>
      </c>
      <c r="M97" s="45" t="inlineStr">
        <is>
          <t>2週間を超えたら即、保健センターか産科に相談する。本人に判断させない。パートナーが予約を取る</t>
        </is>
      </c>
      <c r="N97" s="45" t="inlineStr">
        <is>
          <t>毎週のミーティングに体調・気分を固定項目として入れる</t>
        </is>
      </c>
      <c r="O97" s="42" t="inlineStr">
        <is>
          <t>2人</t>
        </is>
      </c>
      <c r="P97" s="42" t="inlineStr">
        <is>
          <t>月1回</t>
        </is>
      </c>
      <c r="Q97" s="38" t="inlineStr">
        <is>
          <t>未着手</t>
        </is>
      </c>
    </row>
    <row r="98">
      <c r="A98" s="39" t="inlineStr">
        <is>
          <t>R096</t>
        </is>
      </c>
      <c r="B98" s="39" t="inlineStr">
        <is>
          <t>P11</t>
        </is>
      </c>
      <c r="C98" s="39" t="inlineStr">
        <is>
          <t>家事</t>
        </is>
      </c>
      <c r="D98" s="50" t="inlineStr">
        <is>
          <t>「手伝う」姿勢（当事者ではなく補助者）への怒り</t>
        </is>
      </c>
      <c r="E98" s="24" t="inlineStr">
        <is>
          <t>「何かやることある？」「言ってくれればやるのに」</t>
        </is>
      </c>
      <c r="F98" s="24" t="inlineStr">
        <is>
          <t>指示待ちになっている／タスクの存在自体を把握していない</t>
        </is>
      </c>
      <c r="G98" s="24" t="inlineStr">
        <is>
          <t>指示する側：指示を出すこと自体が労働。される側：やる気はあるのに責められる</t>
        </is>
      </c>
      <c r="H98" s="38" t="n">
        <v>5</v>
      </c>
      <c r="I98" s="38" t="n">
        <v>4</v>
      </c>
      <c r="J98" s="39">
        <f>H98*I98</f>
        <v/>
      </c>
      <c r="K98" s="39">
        <f>IF(J98&gt;=16,"最優先",IF(J98&gt;=12,"高",IF(J98&gt;=6,"中","低")))</f>
        <v/>
      </c>
      <c r="L98" s="24" t="inlineStr">
        <is>
          <t>領域ごと渡す（沐浴・寝かしつけ・おむつのストック管理・保育園の情報収集など、判断ごと引き取る）。指示を出すこと自体が労働であると共有する</t>
        </is>
      </c>
      <c r="M98" s="24" t="inlineStr">
        <is>
          <t>タスクリストを開いて、オーナーを移す。「聞く」を減らし「決めて実行する」に変える</t>
        </is>
      </c>
      <c r="N98" s="24" t="inlineStr">
        <is>
          <t>月1回、指示の発生回数を確認して減らしていく</t>
        </is>
      </c>
      <c r="O98" s="39" t="inlineStr">
        <is>
          <t>2人</t>
        </is>
      </c>
      <c r="P98" s="39" t="inlineStr">
        <is>
          <t>月1回</t>
        </is>
      </c>
      <c r="Q98" s="38" t="inlineStr">
        <is>
          <t>未着手</t>
        </is>
      </c>
    </row>
    <row r="99">
      <c r="A99" s="42" t="inlineStr">
        <is>
          <t>R097</t>
        </is>
      </c>
      <c r="B99" s="42" t="inlineStr">
        <is>
          <t>P11</t>
        </is>
      </c>
      <c r="C99" s="42" t="inlineStr">
        <is>
          <t>手続き</t>
        </is>
      </c>
      <c r="D99" s="49" t="inlineStr">
        <is>
          <t>行政手続きの期限を逃して損をする</t>
        </is>
      </c>
      <c r="E99" s="45" t="inlineStr">
        <is>
          <t>児童手当の15日特例、出生届の14日</t>
        </is>
      </c>
      <c r="F99" s="45" t="inlineStr">
        <is>
          <t>産後の消耗で手続きが後回しになる</t>
        </is>
      </c>
      <c r="G99" s="45" t="inlineStr">
        <is>
          <t>どちらも：余裕がない</t>
        </is>
      </c>
      <c r="H99" s="38" t="n">
        <v>2</v>
      </c>
      <c r="I99" s="38" t="n">
        <v>3</v>
      </c>
      <c r="J99" s="42">
        <f>H99*I99</f>
        <v/>
      </c>
      <c r="K99" s="42">
        <f>IF(J99&gt;=16,"最優先",IF(J99&gt;=12,"高",IF(J99&gt;=6,"中","低")))</f>
        <v/>
      </c>
      <c r="L99" s="45" t="inlineStr">
        <is>
          <t>書類は妊娠後期に記入できる欄を全部埋めておく。パートナーが担当し、1回の来庁で全部済ませる</t>
        </is>
      </c>
      <c r="M99" s="45" t="inlineStr">
        <is>
          <t>気づいた時点ですぐ申請する。児童手当は遅れると1ヶ月分が消える</t>
        </is>
      </c>
      <c r="N99" s="45" t="inlineStr">
        <is>
          <t>期限のある手続きを一覧にして冷蔵庫に貼る</t>
        </is>
      </c>
      <c r="O99" s="42" t="inlineStr">
        <is>
          <t>2人</t>
        </is>
      </c>
      <c r="P99" s="42" t="inlineStr">
        <is>
          <t>月1回</t>
        </is>
      </c>
      <c r="Q99" s="38" t="inlineStr">
        <is>
          <t>未着手</t>
        </is>
      </c>
    </row>
    <row r="100">
      <c r="A100" s="39" t="inlineStr">
        <is>
          <t>R098</t>
        </is>
      </c>
      <c r="B100" s="39" t="inlineStr">
        <is>
          <t>P11</t>
        </is>
      </c>
      <c r="C100" s="39" t="inlineStr">
        <is>
          <t>育児</t>
        </is>
      </c>
      <c r="D100" s="50" t="inlineStr">
        <is>
          <t>授乳がうまくいかず、母が追い詰められる</t>
        </is>
      </c>
      <c r="E100" s="24" t="inlineStr">
        <is>
          <t>母乳が出ない／乳頭亀裂／乳腺炎／体重が増えない</t>
        </is>
      </c>
      <c r="F100" s="24" t="inlineStr">
        <is>
          <t>授乳のたびに泣く／ミルクに罪悪感を持つ</t>
        </is>
      </c>
      <c r="G100" s="24" t="inlineStr">
        <is>
          <t>本人：母親失格だと感じる。もう一方：ミルクでいいのにと思っている</t>
        </is>
      </c>
      <c r="H100" s="38" t="n">
        <v>4</v>
      </c>
      <c r="I100" s="38" t="n">
        <v>4</v>
      </c>
      <c r="J100" s="39">
        <f>H100*I100</f>
        <v/>
      </c>
      <c r="K100" s="39">
        <f>IF(J100&gt;=16,"最優先",IF(J100&gt;=12,"高",IF(J100&gt;=6,"中","低")))</f>
        <v/>
      </c>
      <c r="L100" s="24" t="inlineStr">
        <is>
          <t>「ミルクは負けではない」を出産前に2人で確認しておく。母乳外来・助産師相談の連絡先を用意する</t>
        </is>
      </c>
      <c r="M100" s="24" t="inlineStr">
        <is>
          <t>混合・完ミに切り替える判断を2人でする。乳腺炎は早めに受診する</t>
        </is>
      </c>
      <c r="N100" s="24" t="inlineStr">
        <is>
          <t>授乳方法の判断を本人一人に背負わせない</t>
        </is>
      </c>
      <c r="O100" s="39" t="inlineStr">
        <is>
          <t>2人</t>
        </is>
      </c>
      <c r="P100" s="39" t="inlineStr">
        <is>
          <t>月1回</t>
        </is>
      </c>
      <c r="Q100" s="38" t="inlineStr">
        <is>
          <t>未着手</t>
        </is>
      </c>
    </row>
    <row r="101">
      <c r="A101" s="42" t="inlineStr">
        <is>
          <t>R099</t>
        </is>
      </c>
      <c r="B101" s="42" t="inlineStr">
        <is>
          <t>P11</t>
        </is>
      </c>
      <c r="C101" s="42" t="inlineStr">
        <is>
          <t>育児</t>
        </is>
      </c>
      <c r="D101" s="49" t="inlineStr">
        <is>
          <t>赤ちゃんが泣き止まず、限界に達する</t>
        </is>
      </c>
      <c r="E101" s="45" t="inlineStr">
        <is>
          <t>コリック（たそがれ泣き）、原因不明の啼泣</t>
        </is>
      </c>
      <c r="F101" s="45" t="inlineStr">
        <is>
          <t>抱っこし続けても泣き止まない／自分を責める</t>
        </is>
      </c>
      <c r="G101" s="45" t="inlineStr">
        <is>
          <t>抱いている側：自分のせいだと感じる。もう一方：交代したいが仕事がある</t>
        </is>
      </c>
      <c r="H101" s="38" t="n">
        <v>4</v>
      </c>
      <c r="I101" s="38" t="n">
        <v>4</v>
      </c>
      <c r="J101" s="42">
        <f>H101*I101</f>
        <v/>
      </c>
      <c r="K101" s="42">
        <f>IF(J101&gt;=16,"最優先",IF(J101&gt;=12,"高",IF(J101&gt;=6,"中","低")))</f>
        <v/>
      </c>
      <c r="L101" s="45" t="inlineStr">
        <is>
          <t>コリックは生後3ヶ月頃に自然に収まると知っておく。「絶対に揺さぶらない」を2人で確認する</t>
        </is>
      </c>
      <c r="M101" s="45" t="inlineStr">
        <is>
          <t>安全な場所に寝かせて数分離れてよい。交代する。#8000に電話する</t>
        </is>
      </c>
      <c r="N101" s="45" t="inlineStr">
        <is>
          <t>泣き止まないときの交代ルールを決めておく</t>
        </is>
      </c>
      <c r="O101" s="42" t="inlineStr">
        <is>
          <t>2人</t>
        </is>
      </c>
      <c r="P101" s="42" t="inlineStr">
        <is>
          <t>月1回</t>
        </is>
      </c>
      <c r="Q101" s="38" t="inlineStr">
        <is>
          <t>未着手</t>
        </is>
      </c>
    </row>
    <row r="102">
      <c r="A102" s="39" t="inlineStr">
        <is>
          <t>R100</t>
        </is>
      </c>
      <c r="B102" s="39" t="inlineStr">
        <is>
          <t>P11</t>
        </is>
      </c>
      <c r="C102" s="39" t="inlineStr">
        <is>
          <t>コミュニケーション</t>
        </is>
      </c>
      <c r="D102" s="50" t="inlineStr">
        <is>
          <t>パートナーが「自分は必要とされていない」と感じる</t>
        </is>
      </c>
      <c r="E102" s="24" t="inlineStr">
        <is>
          <t>授乳ができない、母子の世界に入れない</t>
        </is>
      </c>
      <c r="F102" s="24" t="inlineStr">
        <is>
          <t>距離を取る／仕事に逃げる</t>
        </is>
      </c>
      <c r="G102" s="24" t="inlineStr">
        <is>
          <t>感じる側：自分の役割が分からない。もう一方：一人でやるしかない</t>
        </is>
      </c>
      <c r="H102" s="38" t="n">
        <v>3</v>
      </c>
      <c r="I102" s="38" t="n">
        <v>3</v>
      </c>
      <c r="J102" s="39">
        <f>H102*I102</f>
        <v/>
      </c>
      <c r="K102" s="39">
        <f>IF(J102&gt;=16,"最優先",IF(J102&gt;=12,"高",IF(J102&gt;=6,"中","低")))</f>
        <v/>
      </c>
      <c r="L102" s="24" t="inlineStr">
        <is>
          <t>沐浴・寝かしつけ・おむつなど、パートナーが主担当になる領域を先に決めておく</t>
        </is>
      </c>
      <c r="M102" s="24" t="inlineStr">
        <is>
          <t>役割を明示的に渡す。「ありがとう」を言葉にする</t>
        </is>
      </c>
      <c r="N102" s="24" t="inlineStr">
        <is>
          <t>領域オーナー制を維持する</t>
        </is>
      </c>
      <c r="O102" s="39" t="inlineStr">
        <is>
          <t>2人</t>
        </is>
      </c>
      <c r="P102" s="39" t="inlineStr">
        <is>
          <t>月1回</t>
        </is>
      </c>
      <c r="Q102" s="38" t="inlineStr">
        <is>
          <t>未着手</t>
        </is>
      </c>
    </row>
    <row r="103">
      <c r="A103" s="42" t="inlineStr">
        <is>
          <t>R101</t>
        </is>
      </c>
      <c r="B103" s="42" t="inlineStr">
        <is>
          <t>P11</t>
        </is>
      </c>
      <c r="C103" s="42" t="inlineStr">
        <is>
          <t>お金</t>
        </is>
      </c>
      <c r="D103" s="49" t="inlineStr">
        <is>
          <t>収入減による経済的不安が支出方針の対立になる</t>
        </is>
      </c>
      <c r="E103" s="45" t="inlineStr">
        <is>
          <t>育休給付は入金が遅く、手取りが下がる</t>
        </is>
      </c>
      <c r="F103" s="45" t="inlineStr">
        <is>
          <t>外注費・ベビー用品の支出で毎回揉める</t>
        </is>
      </c>
      <c r="G103" s="45" t="inlineStr">
        <is>
          <t>使いたい側：今しか買えない。抑えたい側：収入が減っている</t>
        </is>
      </c>
      <c r="H103" s="38" t="n">
        <v>3</v>
      </c>
      <c r="I103" s="38" t="n">
        <v>3</v>
      </c>
      <c r="J103" s="42">
        <f>H103*I103</f>
        <v/>
      </c>
      <c r="K103" s="42">
        <f>IF(J103&gt;=16,"最優先",IF(J103&gt;=12,"高",IF(J103&gt;=6,"中","低")))</f>
        <v/>
      </c>
      <c r="L103" s="45" t="inlineStr">
        <is>
          <t>産後1年の資金繰り表を妊娠中に作る。外注費を「必要経費」として先に予算化しておく</t>
        </is>
      </c>
      <c r="M103" s="45" t="inlineStr">
        <is>
          <t>予算表に戻って優先順位で削る。削る対象は「モノ」から。時間を買う支出は最後に削る</t>
        </is>
      </c>
      <c r="N103" s="45" t="inlineStr">
        <is>
          <t>外注費の予算を固定費として扱う</t>
        </is>
      </c>
      <c r="O103" s="42" t="inlineStr">
        <is>
          <t>2人</t>
        </is>
      </c>
      <c r="P103" s="42" t="inlineStr">
        <is>
          <t>月1回</t>
        </is>
      </c>
      <c r="Q103" s="38" t="inlineStr">
        <is>
          <t>未着手</t>
        </is>
      </c>
    </row>
    <row r="104">
      <c r="A104" s="39" t="inlineStr">
        <is>
          <t>R102</t>
        </is>
      </c>
      <c r="B104" s="39" t="inlineStr">
        <is>
          <t>P11</t>
        </is>
      </c>
      <c r="C104" s="39" t="inlineStr">
        <is>
          <t>健康</t>
        </is>
      </c>
      <c r="D104" s="50" t="inlineStr">
        <is>
          <t>パートナー側も睡眠不足と環境変化で不調になる</t>
        </is>
      </c>
      <c r="E104" s="24" t="inlineStr">
        <is>
          <t>夜間対応と仕事の両立</t>
        </is>
      </c>
      <c r="F104" s="24" t="inlineStr">
        <is>
          <t>イライラする／体調を崩す／産後うつはパートナー側にも起こる</t>
        </is>
      </c>
      <c r="G104" s="24" t="inlineStr">
        <is>
          <t>本人：弱音を吐けない。もう一方：自分のほうが大変</t>
        </is>
      </c>
      <c r="H104" s="38" t="n">
        <v>3</v>
      </c>
      <c r="I104" s="38" t="n">
        <v>3</v>
      </c>
      <c r="J104" s="39">
        <f>H104*I104</f>
        <v/>
      </c>
      <c r="K104" s="39">
        <f>IF(J104&gt;=16,"最優先",IF(J104&gt;=12,"高",IF(J104&gt;=6,"中","低")))</f>
        <v/>
      </c>
      <c r="L104" s="24" t="inlineStr">
        <is>
          <t>2人分の睡眠時間を確保する設計にする。パートナー側のメンタル不調もありうると事前に共有する</t>
        </is>
      </c>
      <c r="M104" s="24" t="inlineStr">
        <is>
          <t>日中にどちらかが寝る時間を作る。祖父母・シッターを入れる</t>
        </is>
      </c>
      <c r="N104" s="24" t="inlineStr">
        <is>
          <t>2人とも週次で体調を報告し合う</t>
        </is>
      </c>
      <c r="O104" s="39" t="inlineStr">
        <is>
          <t>2人</t>
        </is>
      </c>
      <c r="P104" s="39" t="inlineStr">
        <is>
          <t>月1回</t>
        </is>
      </c>
      <c r="Q104" s="38" t="inlineStr">
        <is>
          <t>未着手</t>
        </is>
      </c>
    </row>
    <row r="105">
      <c r="A105" s="42" t="inlineStr">
        <is>
          <t>R103</t>
        </is>
      </c>
      <c r="B105" s="42" t="inlineStr">
        <is>
          <t>P11</t>
        </is>
      </c>
      <c r="C105" s="42" t="inlineStr">
        <is>
          <t>コミュニケーション</t>
        </is>
      </c>
      <c r="D105" s="49" t="inlineStr">
        <is>
          <t>SNS・写真の共有範囲で揉める</t>
        </is>
      </c>
      <c r="E105" s="45" t="inlineStr">
        <is>
          <t>子の顔写真の投稿、親族への共有</t>
        </is>
      </c>
      <c r="F105" s="45" t="inlineStr">
        <is>
          <t>片方が勝手に投稿する</t>
        </is>
      </c>
      <c r="G105" s="45" t="inlineStr">
        <is>
          <t>投稿する側：見せたい。反対する側：子のプライバシー</t>
        </is>
      </c>
      <c r="H105" s="38" t="n">
        <v>3</v>
      </c>
      <c r="I105" s="38" t="n">
        <v>2</v>
      </c>
      <c r="J105" s="42">
        <f>H105*I105</f>
        <v/>
      </c>
      <c r="K105" s="42">
        <f>IF(J105&gt;=16,"最優先",IF(J105&gt;=12,"高",IF(J105&gt;=6,"中","低")))</f>
        <v/>
      </c>
      <c r="L105" s="45" t="inlineStr">
        <is>
          <t>子の写真の公開範囲を出産前に決める（SNS不可、親族限定の共有アルバムのみ等）</t>
        </is>
      </c>
      <c r="M105" s="45" t="inlineStr">
        <is>
          <t>投稿を削除する。ルールを明文化する</t>
        </is>
      </c>
      <c r="N105" s="45" t="inlineStr">
        <is>
          <t>共有アルバムを作って、公開範囲を仕組みで固定する</t>
        </is>
      </c>
      <c r="O105" s="42" t="inlineStr">
        <is>
          <t>2人</t>
        </is>
      </c>
      <c r="P105" s="42" t="inlineStr">
        <is>
          <t>月1回</t>
        </is>
      </c>
      <c r="Q105" s="38" t="inlineStr">
        <is>
          <t>未着手</t>
        </is>
      </c>
    </row>
    <row r="106">
      <c r="A106" s="39" t="inlineStr">
        <is>
          <t>R104</t>
        </is>
      </c>
      <c r="B106" s="39" t="inlineStr">
        <is>
          <t>P12</t>
        </is>
      </c>
      <c r="C106" s="39" t="inlineStr">
        <is>
          <t>性</t>
        </is>
      </c>
      <c r="D106" s="50" t="inlineStr">
        <is>
          <t>性生活の再開時期のズレ</t>
        </is>
      </c>
      <c r="E106" s="24" t="inlineStr">
        <is>
          <t>1ヶ月健診で許可は出たが、体調・気力が戻っていない</t>
        </is>
      </c>
      <c r="F106" s="24" t="inlineStr">
        <is>
          <t>話題を避ける／拒否が続いて相手が傷つく</t>
        </is>
      </c>
      <c r="G106" s="24" t="inlineStr">
        <is>
          <t>求める側：拒絶されている。求められる側：体も気力も回復していない</t>
        </is>
      </c>
      <c r="H106" s="38" t="n">
        <v>4</v>
      </c>
      <c r="I106" s="38" t="n">
        <v>3</v>
      </c>
      <c r="J106" s="39">
        <f>H106*I106</f>
        <v/>
      </c>
      <c r="K106" s="39">
        <f>IF(J106&gt;=16,"最優先",IF(J106&gt;=12,"高",IF(J106&gt;=6,"中","低")))</f>
        <v/>
      </c>
      <c r="L106" s="24" t="inlineStr">
        <is>
          <t>再開の可否と時期は身体の回復とは別問題であると事前に共有する。断ることが拒絶ではないと言語化しておく</t>
        </is>
      </c>
      <c r="M106" s="24" t="inlineStr">
        <is>
          <t>スキンシップと性交渉を切り離す。焦らせない。長引く場合は産婦人科で相談できる</t>
        </is>
      </c>
      <c r="N106" s="24" t="inlineStr">
        <is>
          <t>定期的に気持ちを確認する（一度断られたら終わりにしない）</t>
        </is>
      </c>
      <c r="O106" s="39" t="inlineStr">
        <is>
          <t>2人</t>
        </is>
      </c>
      <c r="P106" s="39" t="inlineStr">
        <is>
          <t>月1回</t>
        </is>
      </c>
      <c r="Q106" s="38" t="inlineStr">
        <is>
          <t>未着手</t>
        </is>
      </c>
    </row>
    <row r="107">
      <c r="A107" s="42" t="inlineStr">
        <is>
          <t>R105</t>
        </is>
      </c>
      <c r="B107" s="42" t="inlineStr">
        <is>
          <t>P12</t>
        </is>
      </c>
      <c r="C107" s="42" t="inlineStr">
        <is>
          <t>家事</t>
        </is>
      </c>
      <c r="D107" s="49" t="inlineStr">
        <is>
          <t>スマホ・ゲーム・在宅勤務中の非協力</t>
        </is>
      </c>
      <c r="E107" s="45" t="inlineStr">
        <is>
          <t>同じ空間にいるのに手が出ない</t>
        </is>
      </c>
      <c r="F107" s="45" t="inlineStr">
        <is>
          <t>「家にいるのに何もしない」が出る</t>
        </is>
      </c>
      <c r="G107" s="45" t="inlineStr">
        <is>
          <t>見ている側：目の前で休まれるのが苦痛。休む側：仕事の合間の休憩</t>
        </is>
      </c>
      <c r="H107" s="38" t="n">
        <v>4</v>
      </c>
      <c r="I107" s="38" t="n">
        <v>3</v>
      </c>
      <c r="J107" s="42">
        <f>H107*I107</f>
        <v/>
      </c>
      <c r="K107" s="42">
        <f>IF(J107&gt;=16,"最優先",IF(J107&gt;=12,"高",IF(J107&gt;=6,"中","低")))</f>
        <v/>
      </c>
      <c r="L107" s="45" t="inlineStr">
        <is>
          <t>在宅勤務中は「家にいるが不在」と定義し、対応可能な時間帯を明示する。手が空いている時間帯の担当を決めておく</t>
        </is>
      </c>
      <c r="M107" s="45" t="inlineStr">
        <is>
          <t>時間帯ごとの担当表に戻す。曖昧な「空いてるとき」をなくす</t>
        </is>
      </c>
      <c r="N107" s="45" t="inlineStr">
        <is>
          <t>在宅勤務日の担当を固定化する</t>
        </is>
      </c>
      <c r="O107" s="42" t="inlineStr">
        <is>
          <t>2人</t>
        </is>
      </c>
      <c r="P107" s="42" t="inlineStr">
        <is>
          <t>月1回</t>
        </is>
      </c>
      <c r="Q107" s="38" t="inlineStr">
        <is>
          <t>未着手</t>
        </is>
      </c>
    </row>
    <row r="108">
      <c r="A108" s="39" t="inlineStr">
        <is>
          <t>R106</t>
        </is>
      </c>
      <c r="B108" s="39" t="inlineStr">
        <is>
          <t>P12</t>
        </is>
      </c>
      <c r="C108" s="39" t="inlineStr">
        <is>
          <t>育児</t>
        </is>
      </c>
      <c r="D108" s="50" t="inlineStr">
        <is>
          <t>予防接種のスケジュールが崩れる</t>
        </is>
      </c>
      <c r="E108" s="24" t="inlineStr">
        <is>
          <t>予約が取れない／発熱で延期</t>
        </is>
      </c>
      <c r="F108" s="24" t="inlineStr">
        <is>
          <t>接種間隔が空きすぎている</t>
        </is>
      </c>
      <c r="G108" s="24" t="inlineStr">
        <is>
          <t>どちらも：管理しきれていない</t>
        </is>
      </c>
      <c r="H108" s="38" t="n">
        <v>3</v>
      </c>
      <c r="I108" s="38" t="n">
        <v>3</v>
      </c>
      <c r="J108" s="39">
        <f>H108*I108</f>
        <v/>
      </c>
      <c r="K108" s="39">
        <f>IF(J108&gt;=16,"最優先",IF(J108&gt;=12,"高",IF(J108&gt;=6,"中","低")))</f>
        <v/>
      </c>
      <c r="L108" s="24" t="inlineStr">
        <is>
          <t>1年分のスケジュール表を作り、次回予約をその場で取る。ロタは生後14週6日までという期限を把握する</t>
        </is>
      </c>
      <c r="M108" s="24" t="inlineStr">
        <is>
          <t>小児科に相談してスケジュールを組み直す。同時接種で回数を減らす</t>
        </is>
      </c>
      <c r="N108" s="24" t="inlineStr">
        <is>
          <t>接種の管理担当を1人に固定する</t>
        </is>
      </c>
      <c r="O108" s="39" t="inlineStr">
        <is>
          <t>2人</t>
        </is>
      </c>
      <c r="P108" s="39" t="inlineStr">
        <is>
          <t>月1回</t>
        </is>
      </c>
      <c r="Q108" s="38" t="inlineStr">
        <is>
          <t>未着手</t>
        </is>
      </c>
    </row>
    <row r="109">
      <c r="A109" s="42" t="inlineStr">
        <is>
          <t>R107</t>
        </is>
      </c>
      <c r="B109" s="42" t="inlineStr">
        <is>
          <t>P12</t>
        </is>
      </c>
      <c r="C109" s="42" t="inlineStr">
        <is>
          <t>健康</t>
        </is>
      </c>
      <c r="D109" s="49" t="inlineStr">
        <is>
          <t>母の体の不調（腱鞘炎・腰痛・抜け毛・骨盤）が放置される</t>
        </is>
      </c>
      <c r="E109" s="45" t="inlineStr">
        <is>
          <t>抱っこの繰り返し、睡眠不足</t>
        </is>
      </c>
      <c r="F109" s="45" t="inlineStr">
        <is>
          <t>手首が痛い／腰が立たない</t>
        </is>
      </c>
      <c r="G109" s="45" t="inlineStr">
        <is>
          <t>本人：受診する時間がない。もう一方：気づいていない</t>
        </is>
      </c>
      <c r="H109" s="38" t="n">
        <v>4</v>
      </c>
      <c r="I109" s="38" t="n">
        <v>2</v>
      </c>
      <c r="J109" s="42">
        <f>H109*I109</f>
        <v/>
      </c>
      <c r="K109" s="42">
        <f>IF(J109&gt;=16,"最優先",IF(J109&gt;=12,"高",IF(J109&gt;=6,"中","低")))</f>
        <v/>
      </c>
      <c r="L109" s="45" t="inlineStr">
        <is>
          <t>1ヶ月健診で相談する。産後ケア・整体・骨盤矯正を予算に入れておく</t>
        </is>
      </c>
      <c r="M109" s="45" t="inlineStr">
        <is>
          <t>受診の予約をパートナーが取り、その間の子守を引き受ける</t>
        </is>
      </c>
      <c r="N109" s="45" t="inlineStr">
        <is>
          <t>母の通院時間を月に数回、固定で確保する</t>
        </is>
      </c>
      <c r="O109" s="42" t="inlineStr">
        <is>
          <t>2人</t>
        </is>
      </c>
      <c r="P109" s="42" t="inlineStr">
        <is>
          <t>月1回</t>
        </is>
      </c>
      <c r="Q109" s="38" t="inlineStr">
        <is>
          <t>未着手</t>
        </is>
      </c>
    </row>
    <row r="110">
      <c r="A110" s="39" t="inlineStr">
        <is>
          <t>R108</t>
        </is>
      </c>
      <c r="B110" s="39" t="inlineStr">
        <is>
          <t>P12</t>
        </is>
      </c>
      <c r="C110" s="39" t="inlineStr">
        <is>
          <t>育児</t>
        </is>
      </c>
      <c r="D110" s="50" t="inlineStr">
        <is>
          <t>離乳食の手作りへのこだわりで消耗する</t>
        </is>
      </c>
      <c r="E110" s="24" t="inlineStr">
        <is>
          <t>「手作りしないと」というプレッシャー</t>
        </is>
      </c>
      <c r="F110" s="24" t="inlineStr">
        <is>
          <t>毎食作り、疲弊している</t>
        </is>
      </c>
      <c r="G110" s="24" t="inlineStr">
        <is>
          <t>作る側：ちゃんとやりたい。もう一方：市販でいいのにと思っているが言えない</t>
        </is>
      </c>
      <c r="H110" s="38" t="n">
        <v>4</v>
      </c>
      <c r="I110" s="38" t="n">
        <v>3</v>
      </c>
      <c r="J110" s="39">
        <f>H110*I110</f>
        <v/>
      </c>
      <c r="K110" s="39">
        <f>IF(J110&gt;=16,"最優先",IF(J110&gt;=12,"高",IF(J110&gt;=6,"中","低")))</f>
        <v/>
      </c>
      <c r="L110" s="24" t="inlineStr">
        <is>
          <t>市販のベビーフードのほうが栄養設計と衛生管理は安定していると2人で確認する。冷凍ストックと市販品を前提に組む</t>
        </is>
      </c>
      <c r="M110" s="24" t="inlineStr">
        <is>
          <t>市販品の比率を上げる。作る日と作らない日を決める</t>
        </is>
      </c>
      <c r="N110" s="24" t="inlineStr">
        <is>
          <t>「手作りが偉い」という前提を2人で明示的に否定しておく</t>
        </is>
      </c>
      <c r="O110" s="39" t="inlineStr">
        <is>
          <t>2人</t>
        </is>
      </c>
      <c r="P110" s="39" t="inlineStr">
        <is>
          <t>月1回</t>
        </is>
      </c>
      <c r="Q110" s="38" t="inlineStr">
        <is>
          <t>未着手</t>
        </is>
      </c>
    </row>
    <row r="111">
      <c r="A111" s="42" t="inlineStr">
        <is>
          <t>R109</t>
        </is>
      </c>
      <c r="B111" s="42" t="inlineStr">
        <is>
          <t>P12</t>
        </is>
      </c>
      <c r="C111" s="42" t="inlineStr">
        <is>
          <t>育児</t>
        </is>
      </c>
      <c r="D111" s="49" t="inlineStr">
        <is>
          <t>アレルギー対応の判断が片方に偏る</t>
        </is>
      </c>
      <c r="E111" s="45" t="inlineStr">
        <is>
          <t>新食材の管理、症状が出たときの対応</t>
        </is>
      </c>
      <c r="F111" s="45" t="inlineStr">
        <is>
          <t>食べさせた物を片方しか把握していない</t>
        </is>
      </c>
      <c r="G111" s="45" t="inlineStr">
        <is>
          <t>管理する側：責任が重い。もう一方：分からないから任せている</t>
        </is>
      </c>
      <c r="H111" s="38" t="n">
        <v>3</v>
      </c>
      <c r="I111" s="38" t="n">
        <v>3</v>
      </c>
      <c r="J111" s="42">
        <f>H111*I111</f>
        <v/>
      </c>
      <c r="K111" s="42">
        <f>IF(J111&gt;=16,"最優先",IF(J111&gt;=12,"高",IF(J111&gt;=6,"中","低")))</f>
        <v/>
      </c>
      <c r="L111" s="45" t="inlineStr">
        <is>
          <t>新食材の記録表を2人で共有する。症状が出たときの受診先と手順を2人が言える状態にする</t>
        </is>
      </c>
      <c r="M111" s="45" t="inlineStr">
        <is>
          <t>記録を見返して原因食材を特定する。かかりつけに相談する</t>
        </is>
      </c>
      <c r="N111" s="45" t="inlineStr">
        <is>
          <t>食事の担当を交代制にして、両方が把握する</t>
        </is>
      </c>
      <c r="O111" s="42" t="inlineStr">
        <is>
          <t>2人</t>
        </is>
      </c>
      <c r="P111" s="42" t="inlineStr">
        <is>
          <t>月1回</t>
        </is>
      </c>
      <c r="Q111" s="38" t="inlineStr">
        <is>
          <t>未着手</t>
        </is>
      </c>
    </row>
    <row r="112">
      <c r="A112" s="39" t="inlineStr">
        <is>
          <t>R110</t>
        </is>
      </c>
      <c r="B112" s="39" t="inlineStr">
        <is>
          <t>P12</t>
        </is>
      </c>
      <c r="C112" s="39" t="inlineStr">
        <is>
          <t>コミュニケーション</t>
        </is>
      </c>
      <c r="D112" s="50" t="inlineStr">
        <is>
          <t>子どもの話しかしなくなる</t>
        </is>
      </c>
      <c r="E112" s="24" t="inlineStr">
        <is>
          <t>生活の全てが育児中心</t>
        </is>
      </c>
      <c r="F112" s="24" t="inlineStr">
        <is>
          <t>2人の会話が業務連絡と子の話だけ</t>
        </is>
      </c>
      <c r="G112" s="24" t="inlineStr">
        <is>
          <t>どちらも：相手が親としてしか自分を見ていない</t>
        </is>
      </c>
      <c r="H112" s="38" t="n">
        <v>4</v>
      </c>
      <c r="I112" s="38" t="n">
        <v>3</v>
      </c>
      <c r="J112" s="39">
        <f>H112*I112</f>
        <v/>
      </c>
      <c r="K112" s="39">
        <f>IF(J112&gt;=16,"最優先",IF(J112&gt;=12,"高",IF(J112&gt;=6,"中","低")))</f>
        <v/>
      </c>
      <c r="L112" s="24" t="inlineStr">
        <is>
          <t>週次ミーティングに「子ども以外の話」を1つ入れる。一時預かりを使って2人の時間を作る</t>
        </is>
      </c>
      <c r="M112" s="24" t="inlineStr">
        <is>
          <t>外で2人だけの時間を作る。1〜2時間でも効果がある</t>
        </is>
      </c>
      <c r="N112" s="24" t="inlineStr">
        <is>
          <t>月1回、2人の時間を予定として固定する</t>
        </is>
      </c>
      <c r="O112" s="39" t="inlineStr">
        <is>
          <t>2人</t>
        </is>
      </c>
      <c r="P112" s="39" t="inlineStr">
        <is>
          <t>月1回</t>
        </is>
      </c>
      <c r="Q112" s="38" t="inlineStr">
        <is>
          <t>未着手</t>
        </is>
      </c>
    </row>
    <row r="113">
      <c r="A113" s="42" t="inlineStr">
        <is>
          <t>R111</t>
        </is>
      </c>
      <c r="B113" s="42" t="inlineStr">
        <is>
          <t>P12</t>
        </is>
      </c>
      <c r="C113" s="42" t="inlineStr">
        <is>
          <t>親族</t>
        </is>
      </c>
      <c r="D113" s="49" t="inlineStr">
        <is>
          <t>実家依存と、頼れない側の孤立</t>
        </is>
      </c>
      <c r="E113" s="45" t="inlineStr">
        <is>
          <t>片方の実家だけが近く、そこにばかり頼る</t>
        </is>
      </c>
      <c r="F113" s="45" t="inlineStr">
        <is>
          <t>「あなたの実家ばかり」／もう一方が疎外感を持つ</t>
        </is>
      </c>
      <c r="G113" s="45" t="inlineStr">
        <is>
          <t>頼る側：助かっている。疎外される側：自分の家族が関われない</t>
        </is>
      </c>
      <c r="H113" s="38" t="n">
        <v>3</v>
      </c>
      <c r="I113" s="38" t="n">
        <v>3</v>
      </c>
      <c r="J113" s="42">
        <f>H113*I113</f>
        <v/>
      </c>
      <c r="K113" s="42">
        <f>IF(J113&gt;=16,"最優先",IF(J113&gt;=12,"高",IF(J113&gt;=6,"中","低")))</f>
        <v/>
      </c>
      <c r="L113" s="45" t="inlineStr">
        <is>
          <t>頼る先を実家に一本化しない（自治体のファミサポ・シッター・一時預かりを並行して確保する）。頼った回数と内容を可視化する</t>
        </is>
      </c>
      <c r="M113" s="45" t="inlineStr">
        <is>
          <t>外部サービスの比率を上げる。もう一方の実家との関わり方を改めて相談する</t>
        </is>
      </c>
      <c r="N113" s="45" t="inlineStr">
        <is>
          <t>外部の預け先を最低3つ確保しておく</t>
        </is>
      </c>
      <c r="O113" s="42" t="inlineStr">
        <is>
          <t>2人</t>
        </is>
      </c>
      <c r="P113" s="42" t="inlineStr">
        <is>
          <t>月1回</t>
        </is>
      </c>
      <c r="Q113" s="38" t="inlineStr">
        <is>
          <t>未着手</t>
        </is>
      </c>
    </row>
    <row r="114">
      <c r="A114" s="39" t="inlineStr">
        <is>
          <t>R112</t>
        </is>
      </c>
      <c r="B114" s="39" t="inlineStr">
        <is>
          <t>P12</t>
        </is>
      </c>
      <c r="C114" s="39" t="inlineStr">
        <is>
          <t>育児</t>
        </is>
      </c>
      <c r="D114" s="50" t="inlineStr">
        <is>
          <t>睡眠退行・夜泣きで生活リズムが崩れる</t>
        </is>
      </c>
      <c r="E114" s="24" t="inlineStr">
        <is>
          <t>生後4ヶ月頃の睡眠退行</t>
        </is>
      </c>
      <c r="F114" s="24" t="inlineStr">
        <is>
          <t>急に寝なくなる／夜中に何度も起きる</t>
        </is>
      </c>
      <c r="G114" s="24" t="inlineStr">
        <is>
          <t>どちらも：やっと安定したのに戻った絶望感</t>
        </is>
      </c>
      <c r="H114" s="38" t="n">
        <v>4</v>
      </c>
      <c r="I114" s="38" t="n">
        <v>3</v>
      </c>
      <c r="J114" s="39">
        <f>H114*I114</f>
        <v/>
      </c>
      <c r="K114" s="39">
        <f>IF(J114&gt;=16,"最優先",IF(J114&gt;=12,"高",IF(J114&gt;=6,"中","低")))</f>
        <v/>
      </c>
      <c r="L114" s="24" t="inlineStr">
        <is>
          <t>4ヶ月頃に睡眠退行が来ることを事前に知っておく。生活リズムを固定して乗り切る</t>
        </is>
      </c>
      <c r="M114" s="24" t="inlineStr">
        <is>
          <t>夜間分担を一時的に増やす。日中の睡眠を確保する</t>
        </is>
      </c>
      <c r="N114" s="24" t="inlineStr">
        <is>
          <t>発達の節目ごとに乱れることを前提にしておく</t>
        </is>
      </c>
      <c r="O114" s="39" t="inlineStr">
        <is>
          <t>2人</t>
        </is>
      </c>
      <c r="P114" s="39" t="inlineStr">
        <is>
          <t>月1回</t>
        </is>
      </c>
      <c r="Q114" s="38" t="inlineStr">
        <is>
          <t>未着手</t>
        </is>
      </c>
    </row>
    <row r="115">
      <c r="A115" s="42" t="inlineStr">
        <is>
          <t>R113</t>
        </is>
      </c>
      <c r="B115" s="42" t="inlineStr">
        <is>
          <t>P12</t>
        </is>
      </c>
      <c r="C115" s="42" t="inlineStr">
        <is>
          <t>キャリア</t>
        </is>
      </c>
      <c r="D115" s="49" t="inlineStr">
        <is>
          <t>復職の条件（時短・部署）が想定と違う</t>
        </is>
      </c>
      <c r="E115" s="45" t="inlineStr">
        <is>
          <t>会社から異動や時短の制約を提示される</t>
        </is>
      </c>
      <c r="F115" s="45" t="inlineStr">
        <is>
          <t>復職面談で条件が変わる</t>
        </is>
      </c>
      <c r="G115" s="45" t="inlineStr">
        <is>
          <t>本人：キャリアが止まる。会社：戦力の見通しが立たない</t>
        </is>
      </c>
      <c r="H115" s="38" t="n">
        <v>3</v>
      </c>
      <c r="I115" s="38" t="n">
        <v>3</v>
      </c>
      <c r="J115" s="42">
        <f>H115*I115</f>
        <v/>
      </c>
      <c r="K115" s="42">
        <f>IF(J115&gt;=16,"最優先",IF(J115&gt;=12,"高",IF(J115&gt;=6,"中","低")))</f>
        <v/>
      </c>
      <c r="L115" s="45" t="inlineStr">
        <is>
          <t>復職の3ヶ月前に条件を確認し、希望を文書で伝える</t>
        </is>
      </c>
      <c r="M115" s="45" t="inlineStr">
        <is>
          <t>人事に相談する。不利益取扱いは禁止されている。転職も選択肢に入れる</t>
        </is>
      </c>
      <c r="N115" s="45" t="inlineStr">
        <is>
          <t>復職条件を早めに固めて、保活の希望園にも反映する</t>
        </is>
      </c>
      <c r="O115" s="42" t="inlineStr">
        <is>
          <t>2人</t>
        </is>
      </c>
      <c r="P115" s="42" t="inlineStr">
        <is>
          <t>月1回</t>
        </is>
      </c>
      <c r="Q115" s="38" t="inlineStr">
        <is>
          <t>未着手</t>
        </is>
      </c>
    </row>
    <row r="116">
      <c r="A116" s="39" t="inlineStr">
        <is>
          <t>R114</t>
        </is>
      </c>
      <c r="B116" s="39" t="inlineStr">
        <is>
          <t>P13</t>
        </is>
      </c>
      <c r="C116" s="39" t="inlineStr">
        <is>
          <t>保活</t>
        </is>
      </c>
      <c r="D116" s="50" t="inlineStr">
        <is>
          <t>保活の負担が片方に集中する</t>
        </is>
      </c>
      <c r="E116" s="24" t="inlineStr">
        <is>
          <t>見学・書類・点数計算・申込を一人でやっている</t>
        </is>
      </c>
      <c r="F116" s="24" t="inlineStr">
        <is>
          <t>「保育園のことは任せた」と言われた</t>
        </is>
      </c>
      <c r="G116" s="24" t="inlineStr">
        <is>
          <t>動く側：人生を左右する判断を一人で背負っている。任せる側：詳しいほうがやるのが効率的</t>
        </is>
      </c>
      <c r="H116" s="38" t="n">
        <v>4</v>
      </c>
      <c r="I116" s="38" t="n">
        <v>3</v>
      </c>
      <c r="J116" s="39">
        <f>H116*I116</f>
        <v/>
      </c>
      <c r="K116" s="39">
        <f>IF(J116&gt;=16,"最優先",IF(J116&gt;=12,"高",IF(J116&gt;=6,"中","低")))</f>
        <v/>
      </c>
      <c r="L116" s="24" t="inlineStr">
        <is>
          <t>見学は2人で行く。就労証明書は各自が自分の会社に依頼する。申込書のダブルチェックを2人でやる</t>
        </is>
      </c>
      <c r="M116" s="24" t="inlineStr">
        <is>
          <t>残タスクを分割する。締切が近い場合は、片方が全休を取って集中処理する</t>
        </is>
      </c>
      <c r="N116" s="24" t="inlineStr">
        <is>
          <t>保活を「2人のプロジェクト」として週次で進捗を見る</t>
        </is>
      </c>
      <c r="O116" s="39" t="inlineStr">
        <is>
          <t>2人</t>
        </is>
      </c>
      <c r="P116" s="39" t="inlineStr">
        <is>
          <t>月1回</t>
        </is>
      </c>
      <c r="Q116" s="38" t="inlineStr">
        <is>
          <t>未着手</t>
        </is>
      </c>
    </row>
    <row r="117">
      <c r="A117" s="42" t="inlineStr">
        <is>
          <t>R115</t>
        </is>
      </c>
      <c r="B117" s="42" t="inlineStr">
        <is>
          <t>P13</t>
        </is>
      </c>
      <c r="C117" s="42" t="inlineStr">
        <is>
          <t>保活</t>
        </is>
      </c>
      <c r="D117" s="49" t="inlineStr">
        <is>
          <t>書類不備・締切遅れで不承諾になる</t>
        </is>
      </c>
      <c r="E117" s="45" t="inlineStr">
        <is>
          <t>就労証明書が間に合わない／添付漏れ</t>
        </is>
      </c>
      <c r="F117" s="45" t="inlineStr">
        <is>
          <t>締切の1週間前に書類が揃っていない</t>
        </is>
      </c>
      <c r="G117" s="45" t="inlineStr">
        <is>
          <t>どちらも：間に合うと思っていた</t>
        </is>
      </c>
      <c r="H117" s="38" t="n">
        <v>2</v>
      </c>
      <c r="I117" s="38" t="n">
        <v>5</v>
      </c>
      <c r="J117" s="42">
        <f>H117*I117</f>
        <v/>
      </c>
      <c r="K117" s="42">
        <f>IF(J117&gt;=16,"最優先",IF(J117&gt;=12,"高",IF(J117&gt;=6,"中","低")))</f>
        <v/>
      </c>
      <c r="L117" s="45" t="inlineStr">
        <is>
          <t>就労証明書は締切の1ヶ月前に依頼する。提出前に2人でダブルチェックする</t>
        </is>
      </c>
      <c r="M117" s="45" t="inlineStr">
        <is>
          <t>自治体に連絡して救済措置がないか確認する。二次募集・認可外に切り替える</t>
        </is>
      </c>
      <c r="N117" s="45" t="inlineStr">
        <is>
          <t>締切から逆算した準備スケジュールを作る</t>
        </is>
      </c>
      <c r="O117" s="42" t="inlineStr">
        <is>
          <t>2人</t>
        </is>
      </c>
      <c r="P117" s="42" t="inlineStr">
        <is>
          <t>月1回</t>
        </is>
      </c>
      <c r="Q117" s="38" t="inlineStr">
        <is>
          <t>未着手</t>
        </is>
      </c>
    </row>
    <row r="118">
      <c r="A118" s="39" t="inlineStr">
        <is>
          <t>R116</t>
        </is>
      </c>
      <c r="B118" s="39" t="inlineStr">
        <is>
          <t>P13</t>
        </is>
      </c>
      <c r="C118" s="39" t="inlineStr">
        <is>
          <t>キャリア</t>
        </is>
      </c>
      <c r="D118" s="50" t="inlineStr">
        <is>
          <t>復職後の家事育児の再分配に失敗する</t>
        </is>
      </c>
      <c r="E118" s="24" t="inlineStr">
        <is>
          <t>育休中の分担のまま復職した</t>
        </is>
      </c>
      <c r="F118" s="24" t="inlineStr">
        <is>
          <t>朝が回らない／どちらかが毎回早退している</t>
        </is>
      </c>
      <c r="G118" s="24" t="inlineStr">
        <is>
          <t>回らない側：物理的に無理。もう一方：自分も仕事がある</t>
        </is>
      </c>
      <c r="H118" s="38" t="n">
        <v>5</v>
      </c>
      <c r="I118" s="38" t="n">
        <v>4</v>
      </c>
      <c r="J118" s="39">
        <f>H118*I118</f>
        <v/>
      </c>
      <c r="K118" s="39">
        <f>IF(J118&gt;=16,"最優先",IF(J118&gt;=12,"高",IF(J118&gt;=6,"中","低")))</f>
        <v/>
      </c>
      <c r="L118" s="24" t="inlineStr">
        <is>
          <t>復職の1ヶ月前に、1日のタイムテーブルを分単位で書いて分担を組み直す。送りと迎えを分ける。発熱時の早退は交代制と先に決める</t>
        </is>
      </c>
      <c r="M118" s="24" t="inlineStr">
        <is>
          <t>1〜2週間ごとに実績を見て組み替える。回らないなら外注（シッター・病児保育・家事代行）を投入する</t>
        </is>
      </c>
      <c r="N118" s="24" t="inlineStr">
        <is>
          <t>四半期ごとにタイムテーブルを見直す</t>
        </is>
      </c>
      <c r="O118" s="39" t="inlineStr">
        <is>
          <t>2人</t>
        </is>
      </c>
      <c r="P118" s="39" t="inlineStr">
        <is>
          <t>月1回</t>
        </is>
      </c>
      <c r="Q118" s="38" t="inlineStr">
        <is>
          <t>未着手</t>
        </is>
      </c>
    </row>
    <row r="119">
      <c r="A119" s="42" t="inlineStr">
        <is>
          <t>R117</t>
        </is>
      </c>
      <c r="B119" s="42" t="inlineStr">
        <is>
          <t>P13</t>
        </is>
      </c>
      <c r="C119" s="42" t="inlineStr">
        <is>
          <t>キャリア</t>
        </is>
      </c>
      <c r="D119" s="49" t="inlineStr">
        <is>
          <t>キャリアの不公平感（片方だけが制約を負う）</t>
        </is>
      </c>
      <c r="E119" s="45" t="inlineStr">
        <is>
          <t>時短・部署異動・昇進の見送りが片方に集中</t>
        </is>
      </c>
      <c r="F119" s="45" t="inlineStr">
        <is>
          <t>「私のキャリアだけ止まっている」が出る</t>
        </is>
      </c>
      <c r="G119" s="45" t="inlineStr">
        <is>
          <t>制約を負う側：将来の収入も昇進も失っている。もう一方：自分が稼がないと家計が回らない</t>
        </is>
      </c>
      <c r="H119" s="38" t="n">
        <v>4</v>
      </c>
      <c r="I119" s="38" t="n">
        <v>4</v>
      </c>
      <c r="J119" s="42">
        <f>H119*I119</f>
        <v/>
      </c>
      <c r="K119" s="42">
        <f>IF(J119&gt;=16,"最優先",IF(J119&gt;=12,"高",IF(J119&gt;=6,"中","低")))</f>
        <v/>
      </c>
      <c r="L119" s="45" t="inlineStr">
        <is>
          <t>時短や制約を負う側を固定しない（1年ごとに交代する、育休を2人とも取る）。3年後のキャリアの希望を2人とも言語化しておく</t>
        </is>
      </c>
      <c r="M119" s="45" t="inlineStr">
        <is>
          <t>負担の交代を具体的に検討する。金銭的な補償ではなく、時間と機会で調整する</t>
        </is>
      </c>
      <c r="N119" s="45" t="inlineStr">
        <is>
          <t>年1回、キャリアの制約の配分を見直す</t>
        </is>
      </c>
      <c r="O119" s="42" t="inlineStr">
        <is>
          <t>2人</t>
        </is>
      </c>
      <c r="P119" s="42" t="inlineStr">
        <is>
          <t>月1回</t>
        </is>
      </c>
      <c r="Q119" s="38" t="inlineStr">
        <is>
          <t>未着手</t>
        </is>
      </c>
    </row>
    <row r="120">
      <c r="A120" s="39" t="inlineStr">
        <is>
          <t>R118</t>
        </is>
      </c>
      <c r="B120" s="39" t="inlineStr">
        <is>
          <t>P13</t>
        </is>
      </c>
      <c r="C120" s="39" t="inlineStr">
        <is>
          <t>育児</t>
        </is>
      </c>
      <c r="D120" s="50" t="inlineStr">
        <is>
          <t>子の発熱で仕事が止まり、双方が疲弊する</t>
        </is>
      </c>
      <c r="E120" s="24" t="inlineStr">
        <is>
          <t>保育園に通い始めた最初の半年は毎月発熱する</t>
        </is>
      </c>
      <c r="F120" s="24" t="inlineStr">
        <is>
          <t>月に何度も呼び出される／有給が尽きる</t>
        </is>
      </c>
      <c r="G120" s="24" t="inlineStr">
        <is>
          <t>どちらも：休むと職場に迷惑がかかる</t>
        </is>
      </c>
      <c r="H120" s="38" t="n">
        <v>5</v>
      </c>
      <c r="I120" s="38" t="n">
        <v>4</v>
      </c>
      <c r="J120" s="39">
        <f>H120*I120</f>
        <v/>
      </c>
      <c r="K120" s="39">
        <f>IF(J120&gt;=16,"最優先",IF(J120&gt;=12,"高",IF(J120&gt;=6,"中","低")))</f>
        <v/>
      </c>
      <c r="L120" s="24" t="inlineStr">
        <is>
          <t>病児保育・ファミサポ・シッターに復職2ヶ月前までに登録する。早退は交代制と決めておく</t>
        </is>
      </c>
      <c r="M120" s="24" t="inlineStr">
        <is>
          <t>登録済みの預け先を使う。祖父母に頼る。在宅勤務に切り替える</t>
        </is>
      </c>
      <c r="N120" s="24" t="inlineStr">
        <is>
          <t>「最初の半年は月2回休む」前提で仕事の計画を立てる</t>
        </is>
      </c>
      <c r="O120" s="39" t="inlineStr">
        <is>
          <t>2人</t>
        </is>
      </c>
      <c r="P120" s="39" t="inlineStr">
        <is>
          <t>月1回</t>
        </is>
      </c>
      <c r="Q120" s="38" t="inlineStr">
        <is>
          <t>未着手</t>
        </is>
      </c>
    </row>
    <row r="121">
      <c r="A121" s="42" t="inlineStr">
        <is>
          <t>R119</t>
        </is>
      </c>
      <c r="B121" s="42" t="inlineStr">
        <is>
          <t>P13</t>
        </is>
      </c>
      <c r="C121" s="42" t="inlineStr">
        <is>
          <t>安全</t>
        </is>
      </c>
      <c r="D121" s="49" t="inlineStr">
        <is>
          <t>つかまり立ち・歩き始めの事故</t>
        </is>
      </c>
      <c r="E121" s="45" t="inlineStr">
        <is>
          <t>誤飲・転落・やけど・溺水</t>
        </is>
      </c>
      <c r="F121" s="45" t="inlineStr">
        <is>
          <t>目を離した隙に危険な物を触っている</t>
        </is>
      </c>
      <c r="G121" s="45" t="inlineStr">
        <is>
          <t>どちらも：まだ動かないと思っている</t>
        </is>
      </c>
      <c r="H121" s="38" t="n">
        <v>4</v>
      </c>
      <c r="I121" s="38" t="n">
        <v>5</v>
      </c>
      <c r="J121" s="42">
        <f>H121*I121</f>
        <v/>
      </c>
      <c r="K121" s="42">
        <f>IF(J121&gt;=16,"最優先",IF(J121&gt;=12,"高",IF(J121&gt;=6,"中","低")))</f>
        <v/>
      </c>
      <c r="L121" s="45" t="inlineStr">
        <is>
          <t>床から40cmの目線で家を1周し、ボタン電池・磁石・タバコ・薬・洗剤を撤去する。ベビーゲート・角ガード・転倒防止を設置する。浴槽の残し湯をしない</t>
        </is>
      </c>
      <c r="M121" s="45" t="inlineStr">
        <is>
          <t>誤飲は中毒110番（大阪072-727-2499／つくば029-852-9999）。意識障害・呼吸苦は119</t>
        </is>
      </c>
      <c r="N121" s="45" t="inlineStr">
        <is>
          <t>発達の節目ごとに家の安全点検をやり直す</t>
        </is>
      </c>
      <c r="O121" s="42" t="inlineStr">
        <is>
          <t>2人</t>
        </is>
      </c>
      <c r="P121" s="42" t="inlineStr">
        <is>
          <t>月1回</t>
        </is>
      </c>
      <c r="Q121" s="38" t="inlineStr">
        <is>
          <t>未着手</t>
        </is>
      </c>
    </row>
    <row r="122">
      <c r="A122" s="39" t="inlineStr">
        <is>
          <t>R120</t>
        </is>
      </c>
      <c r="B122" s="39" t="inlineStr">
        <is>
          <t>P13</t>
        </is>
      </c>
      <c r="C122" s="39" t="inlineStr">
        <is>
          <t>育児</t>
        </is>
      </c>
      <c r="D122" s="50" t="inlineStr">
        <is>
          <t>卒乳・断乳のタイミングで対立する</t>
        </is>
      </c>
      <c r="E122" s="24" t="inlineStr">
        <is>
          <t>保育園入園と重なる</t>
        </is>
      </c>
      <c r="F122" s="24" t="inlineStr">
        <is>
          <t>断乳を急かされる／本人が決められない</t>
        </is>
      </c>
      <c r="G122" s="24" t="inlineStr">
        <is>
          <t>急ぐ側：入園までに終わらせたい。本人：体も気持ちも準備ができていない</t>
        </is>
      </c>
      <c r="H122" s="38" t="n">
        <v>3</v>
      </c>
      <c r="I122" s="38" t="n">
        <v>2</v>
      </c>
      <c r="J122" s="39">
        <f>H122*I122</f>
        <v/>
      </c>
      <c r="K122" s="39">
        <f>IF(J122&gt;=16,"最優先",IF(J122&gt;=12,"高",IF(J122&gt;=6,"中","低")))</f>
        <v/>
      </c>
      <c r="L122" s="24" t="inlineStr">
        <is>
          <t>保育園入園と卒乳を同時にやらない（負荷が重なる）。時期をずらす</t>
        </is>
      </c>
      <c r="M122" s="24" t="inlineStr">
        <is>
          <t>園に相談する。ミルク・麦茶への移行を段階的に進める</t>
        </is>
      </c>
      <c r="N122" s="24" t="inlineStr">
        <is>
          <t>大きな変化は同時に起こさない原則にする</t>
        </is>
      </c>
      <c r="O122" s="39" t="inlineStr">
        <is>
          <t>2人</t>
        </is>
      </c>
      <c r="P122" s="39" t="inlineStr">
        <is>
          <t>月1回</t>
        </is>
      </c>
      <c r="Q122" s="38" t="inlineStr">
        <is>
          <t>未着手</t>
        </is>
      </c>
    </row>
    <row r="123">
      <c r="A123" s="42" t="inlineStr">
        <is>
          <t>R121</t>
        </is>
      </c>
      <c r="B123" s="42" t="inlineStr">
        <is>
          <t>P13</t>
        </is>
      </c>
      <c r="C123" s="42" t="inlineStr">
        <is>
          <t>お金</t>
        </is>
      </c>
      <c r="D123" s="49" t="inlineStr">
        <is>
          <t>保育料と復職後の家計の見通しが立たない</t>
        </is>
      </c>
      <c r="E123" s="45" t="inlineStr">
        <is>
          <t>保育料・時短による減収・外注費</t>
        </is>
      </c>
      <c r="F123" s="45" t="inlineStr">
        <is>
          <t>復職後の手取りを試算していない</t>
        </is>
      </c>
      <c r="G123" s="45" t="inlineStr">
        <is>
          <t>どちらも：働けば楽になると思っている</t>
        </is>
      </c>
      <c r="H123" s="38" t="n">
        <v>3</v>
      </c>
      <c r="I123" s="38" t="n">
        <v>3</v>
      </c>
      <c r="J123" s="42">
        <f>H123*I123</f>
        <v/>
      </c>
      <c r="K123" s="42">
        <f>IF(J123&gt;=16,"最優先",IF(J123&gt;=12,"高",IF(J123&gt;=6,"中","低")))</f>
        <v/>
      </c>
      <c r="L123" s="45" t="inlineStr">
        <is>
          <t>保育料の階層表で自分たちの月額を計算し、時短の減収と外注費を含めた手取りを試算する</t>
        </is>
      </c>
      <c r="M123" s="45" t="inlineStr">
        <is>
          <t>外注を減らすのではなく、働き方（時短の度合い・在宅）を調整する</t>
        </is>
      </c>
      <c r="N123" s="45" t="inlineStr">
        <is>
          <t>年1回、収支を再計算する</t>
        </is>
      </c>
      <c r="O123" s="42" t="inlineStr">
        <is>
          <t>2人</t>
        </is>
      </c>
      <c r="P123" s="42" t="inlineStr">
        <is>
          <t>月1回</t>
        </is>
      </c>
      <c r="Q123" s="38" t="inlineStr">
        <is>
          <t>未着手</t>
        </is>
      </c>
    </row>
    <row r="124">
      <c r="A124" s="39" t="inlineStr">
        <is>
          <t>R122</t>
        </is>
      </c>
      <c r="B124" s="39" t="inlineStr">
        <is>
          <t>P13</t>
        </is>
      </c>
      <c r="C124" s="39" t="inlineStr">
        <is>
          <t>育児</t>
        </is>
      </c>
      <c r="D124" s="50" t="inlineStr">
        <is>
          <t>子育て方針で対立する（教育・しつけ・メディア）</t>
        </is>
      </c>
      <c r="E124" s="24" t="inlineStr">
        <is>
          <t>テレビを見せるか、しつけの厳しさ</t>
        </is>
      </c>
      <c r="F124" s="24" t="inlineStr">
        <is>
          <t>相手のやり方をその場で否定する／子どもの前で言い合う</t>
        </is>
      </c>
      <c r="G124" s="24" t="inlineStr">
        <is>
          <t>どちらも：自分の育てられ方が基準になっている</t>
        </is>
      </c>
      <c r="H124" s="38" t="n">
        <v>4</v>
      </c>
      <c r="I124" s="38" t="n">
        <v>3</v>
      </c>
      <c r="J124" s="39">
        <f>H124*I124</f>
        <v/>
      </c>
      <c r="K124" s="39">
        <f>IF(J124&gt;=16,"最優先",IF(J124&gt;=12,"高",IF(J124&gt;=6,"中","低")))</f>
        <v/>
      </c>
      <c r="L124" s="24" t="inlineStr">
        <is>
          <t>「子どもの前では相手のやり方を否定しない」を先にルール化する。方針の議論は子どもがいないところで。エビデンスがある事項は情報源を共有して合わせる</t>
        </is>
      </c>
      <c r="M124" s="24" t="inlineStr">
        <is>
          <t>その場は流し、後で話す。譲れない安全事項だけは即時に止める</t>
        </is>
      </c>
      <c r="N124" s="24" t="inlineStr">
        <is>
          <t>月1回、育児方針をすり合わせる時間を作る</t>
        </is>
      </c>
      <c r="O124" s="39" t="inlineStr">
        <is>
          <t>2人</t>
        </is>
      </c>
      <c r="P124" s="39" t="inlineStr">
        <is>
          <t>月1回</t>
        </is>
      </c>
      <c r="Q124" s="38" t="inlineStr">
        <is>
          <t>未着手</t>
        </is>
      </c>
    </row>
    <row r="125">
      <c r="A125" s="42" t="inlineStr">
        <is>
          <t>R123</t>
        </is>
      </c>
      <c r="B125" s="42" t="inlineStr">
        <is>
          <t>P13</t>
        </is>
      </c>
      <c r="C125" s="42" t="inlineStr">
        <is>
          <t>コミュニケーション</t>
        </is>
      </c>
      <c r="D125" s="49" t="inlineStr">
        <is>
          <t>慣らし保育の負担が想定を超える</t>
        </is>
      </c>
      <c r="E125" s="45" t="inlineStr">
        <is>
          <t>初日2時間から始まり、毎日呼び出される</t>
        </is>
      </c>
      <c r="F125" s="45" t="inlineStr">
        <is>
          <t>1ヶ月間ほとんど仕事にならない</t>
        </is>
      </c>
      <c r="G125" s="45" t="inlineStr">
        <is>
          <t>対応する側：仕事が進まない。もう一方：自分は休めない</t>
        </is>
      </c>
      <c r="H125" s="38" t="n">
        <v>4</v>
      </c>
      <c r="I125" s="38" t="n">
        <v>3</v>
      </c>
      <c r="J125" s="42">
        <f>H125*I125</f>
        <v/>
      </c>
      <c r="K125" s="42">
        <f>IF(J125&gt;=16,"最優先",IF(J125&gt;=12,"高",IF(J125&gt;=6,"中","低")))</f>
        <v/>
      </c>
      <c r="L125" s="45" t="inlineStr">
        <is>
          <t>慣らし保育の期間に育休か有給を残しておく。復職日を慣らし保育の後に設定する</t>
        </is>
      </c>
      <c r="M125" s="45" t="inlineStr">
        <is>
          <t>在宅勤務・時間休を組み合わせる。2人で交代する</t>
        </is>
      </c>
      <c r="N125" s="45" t="inlineStr">
        <is>
          <t>復職日を余裕を持って設定する</t>
        </is>
      </c>
      <c r="O125" s="42" t="inlineStr">
        <is>
          <t>2人</t>
        </is>
      </c>
      <c r="P125" s="42" t="inlineStr">
        <is>
          <t>月1回</t>
        </is>
      </c>
      <c r="Q125" s="38" t="inlineStr">
        <is>
          <t>未着手</t>
        </is>
      </c>
    </row>
    <row r="126">
      <c r="A126" s="39" t="inlineStr">
        <is>
          <t>R124</t>
        </is>
      </c>
      <c r="B126" s="39" t="inlineStr">
        <is>
          <t>通期</t>
        </is>
      </c>
      <c r="C126" s="39" t="inlineStr">
        <is>
          <t>コミュニケーション</t>
        </is>
      </c>
      <c r="D126" s="50" t="inlineStr">
        <is>
          <t>感謝が言語化されなくなる</t>
        </is>
      </c>
      <c r="E126" s="24" t="inlineStr">
        <is>
          <t>やって当たり前になる</t>
        </is>
      </c>
      <c r="F126" s="24" t="inlineStr">
        <is>
          <t>ありがとうを言わなくなる／言われなくなる</t>
        </is>
      </c>
      <c r="G126" s="24" t="inlineStr">
        <is>
          <t>どちらも：自分の労力が見えていないと感じる</t>
        </is>
      </c>
      <c r="H126" s="38" t="n">
        <v>5</v>
      </c>
      <c r="I126" s="38" t="n">
        <v>4</v>
      </c>
      <c r="J126" s="39">
        <f>H126*I126</f>
        <v/>
      </c>
      <c r="K126" s="39">
        <f>IF(J126&gt;=16,"最優先",IF(J126&gt;=12,"高",IF(J126&gt;=6,"中","低")))</f>
        <v/>
      </c>
      <c r="L126" s="24" t="inlineStr">
        <is>
          <t>週1回15分のミーティングを、同棲開始から1歳まで一度も止めない。議題に「今週助かったこと」を入れる</t>
        </is>
      </c>
      <c r="M126" s="24" t="inlineStr">
        <is>
          <t>その週にやってもらったことを具体的に3つ挙げて伝える</t>
        </is>
      </c>
      <c r="N126" s="24" t="inlineStr">
        <is>
          <t>定例の議題として固定する</t>
        </is>
      </c>
      <c r="O126" s="39" t="inlineStr">
        <is>
          <t>2人</t>
        </is>
      </c>
      <c r="P126" s="39" t="inlineStr">
        <is>
          <t>月1回</t>
        </is>
      </c>
      <c r="Q126" s="38" t="inlineStr">
        <is>
          <t>未着手</t>
        </is>
      </c>
    </row>
    <row r="127">
      <c r="A127" s="42" t="inlineStr">
        <is>
          <t>R125</t>
        </is>
      </c>
      <c r="B127" s="42" t="inlineStr">
        <is>
          <t>通期</t>
        </is>
      </c>
      <c r="C127" s="42" t="inlineStr">
        <is>
          <t>お金</t>
        </is>
      </c>
      <c r="D127" s="49" t="inlineStr">
        <is>
          <t>お金の管理方針が実態と合わなくなる</t>
        </is>
      </c>
      <c r="E127" s="45" t="inlineStr">
        <is>
          <t>収入変動、育休、時短</t>
        </is>
      </c>
      <c r="F127" s="45" t="inlineStr">
        <is>
          <t>共通口座への入金額が実態と合っていない</t>
        </is>
      </c>
      <c r="G127" s="45" t="inlineStr">
        <is>
          <t>多く入れる側：不公平。少ない側：収入が減ったのに責められる</t>
        </is>
      </c>
      <c r="H127" s="38" t="n">
        <v>3</v>
      </c>
      <c r="I127" s="38" t="n">
        <v>4</v>
      </c>
      <c r="J127" s="42">
        <f>H127*I127</f>
        <v/>
      </c>
      <c r="K127" s="42">
        <f>IF(J127&gt;=16,"最優先",IF(J127&gt;=12,"高",IF(J127&gt;=6,"中","低")))</f>
        <v/>
      </c>
      <c r="L127" s="45" t="inlineStr">
        <is>
          <t>収入が変わるたびに入金額と自由費を再計算する（育休で手取りが下がる時が最大の変化点）</t>
        </is>
      </c>
      <c r="M127" s="45" t="inlineStr">
        <is>
          <t>収入比率で機械的に再計算する。感情で決めない</t>
        </is>
      </c>
      <c r="N127" s="45" t="inlineStr">
        <is>
          <t>収入の変化を検知したら自動で見直す運用にする</t>
        </is>
      </c>
      <c r="O127" s="42" t="inlineStr">
        <is>
          <t>2人</t>
        </is>
      </c>
      <c r="P127" s="42" t="inlineStr">
        <is>
          <t>月1回</t>
        </is>
      </c>
      <c r="Q127" s="38" t="inlineStr">
        <is>
          <t>未着手</t>
        </is>
      </c>
    </row>
    <row r="128">
      <c r="A128" s="39" t="inlineStr">
        <is>
          <t>R126</t>
        </is>
      </c>
      <c r="B128" s="39" t="inlineStr">
        <is>
          <t>通期</t>
        </is>
      </c>
      <c r="C128" s="39" t="inlineStr">
        <is>
          <t>意思決定</t>
        </is>
      </c>
      <c r="D128" s="50" t="inlineStr">
        <is>
          <t>重要な決定が期限直前に先送りされる</t>
        </is>
      </c>
      <c r="E128" s="24" t="inlineStr">
        <is>
          <t>保活・出生前検査・育休・引っ越し</t>
        </is>
      </c>
      <c r="F128" s="24" t="inlineStr">
        <is>
          <t>締切の直前に慌てて決めている</t>
        </is>
      </c>
      <c r="G128" s="24" t="inlineStr">
        <is>
          <t>どちらも：忙しくて後回しにしている</t>
        </is>
      </c>
      <c r="H128" s="38" t="n">
        <v>4</v>
      </c>
      <c r="I128" s="38" t="n">
        <v>4</v>
      </c>
      <c r="J128" s="39">
        <f>H128*I128</f>
        <v/>
      </c>
      <c r="K128" s="39">
        <f>IF(J128&gt;=16,"最優先",IF(J128&gt;=12,"高",IF(J128&gt;=6,"中","低")))</f>
        <v/>
      </c>
      <c r="L128" s="24" t="inlineStr">
        <is>
          <t>①ロードマップの「決めること」列を、期限の2ヶ月前に議題に上げるルールにする</t>
        </is>
      </c>
      <c r="M128" s="24" t="inlineStr">
        <is>
          <t>期限から逆算して、必要な情報収集だけを最短でやる</t>
        </is>
      </c>
      <c r="N128" s="24" t="inlineStr">
        <is>
          <t>決定の期限をカレンダーに登録しておく</t>
        </is>
      </c>
      <c r="O128" s="39" t="inlineStr">
        <is>
          <t>2人</t>
        </is>
      </c>
      <c r="P128" s="39" t="inlineStr">
        <is>
          <t>月1回</t>
        </is>
      </c>
      <c r="Q128" s="38" t="inlineStr">
        <is>
          <t>未着手</t>
        </is>
      </c>
    </row>
    <row r="129">
      <c r="A129" s="42" t="inlineStr">
        <is>
          <t>R127</t>
        </is>
      </c>
      <c r="B129" s="42" t="inlineStr">
        <is>
          <t>通期</t>
        </is>
      </c>
      <c r="C129" s="42" t="inlineStr">
        <is>
          <t>健康</t>
        </is>
      </c>
      <c r="D129" s="49" t="inlineStr">
        <is>
          <t>どちらかが倒れたときの代替がない</t>
        </is>
      </c>
      <c r="E129" s="45" t="inlineStr">
        <is>
          <t>インフルエンザ、入院、事故</t>
        </is>
      </c>
      <c r="F129" s="45" t="inlineStr">
        <is>
          <t>1人が全部を把握している業務がある</t>
        </is>
      </c>
      <c r="G129" s="45" t="inlineStr">
        <is>
          <t>どちらも：自分が倒れたら回らないと分かっている</t>
        </is>
      </c>
      <c r="H129" s="38" t="n">
        <v>3</v>
      </c>
      <c r="I129" s="38" t="n">
        <v>4</v>
      </c>
      <c r="J129" s="42">
        <f>H129*I129</f>
        <v/>
      </c>
      <c r="K129" s="42">
        <f>IF(J129&gt;=16,"最優先",IF(J129&gt;=12,"高",IF(J129&gt;=6,"中","低")))</f>
        <v/>
      </c>
      <c r="L129" s="45" t="inlineStr">
        <is>
          <t>手続き・保育園・通院・支払いの情報を共有ドライブに置く。1人しか知らない業務をなくす</t>
        </is>
      </c>
      <c r="M129" s="45" t="inlineStr">
        <is>
          <t>外部の預け先（病児保育・シッター・祖父母）を即座に投入する</t>
        </is>
      </c>
      <c r="N129" s="45" t="inlineStr">
        <is>
          <t>四半期ごとに「1人しか知らないこと」を棚卸しする</t>
        </is>
      </c>
      <c r="O129" s="42" t="inlineStr">
        <is>
          <t>2人</t>
        </is>
      </c>
      <c r="P129" s="42" t="inlineStr">
        <is>
          <t>月1回</t>
        </is>
      </c>
      <c r="Q129" s="38" t="inlineStr">
        <is>
          <t>未着手</t>
        </is>
      </c>
    </row>
    <row r="130">
      <c r="A130" s="39" t="inlineStr">
        <is>
          <t>R128</t>
        </is>
      </c>
      <c r="B130" s="39" t="inlineStr">
        <is>
          <t>通期</t>
        </is>
      </c>
      <c r="C130" s="39" t="inlineStr">
        <is>
          <t>親族</t>
        </is>
      </c>
      <c r="D130" s="50" t="inlineStr">
        <is>
          <t>親の介護と育児が重なる</t>
        </is>
      </c>
      <c r="E130" s="24" t="inlineStr">
        <is>
          <t>親の高齢化</t>
        </is>
      </c>
      <c r="F130" s="24" t="inlineStr">
        <is>
          <t>親の通院付き添いが増える</t>
        </is>
      </c>
      <c r="G130" s="24" t="inlineStr">
        <is>
          <t>どちらも：どちらも放り出せない</t>
        </is>
      </c>
      <c r="H130" s="38" t="n">
        <v>2</v>
      </c>
      <c r="I130" s="38" t="n">
        <v>4</v>
      </c>
      <c r="J130" s="39">
        <f>H130*I130</f>
        <v/>
      </c>
      <c r="K130" s="39">
        <f>IF(J130&gt;=16,"最優先",IF(J130&gt;=12,"高",IF(J130&gt;=6,"中","低")))</f>
        <v/>
      </c>
      <c r="L130" s="24" t="inlineStr">
        <is>
          <t>親の健康状態と、介護が必要になった場合の方針を早めに話しておく</t>
        </is>
      </c>
      <c r="M130" s="24" t="inlineStr">
        <is>
          <t>地域包括支援センターに相談する。介護は各自が自分の実親を担当する原則を確認する</t>
        </is>
      </c>
      <c r="N130" s="24" t="inlineStr">
        <is>
          <t>年1回、双方の親の状況を共有する</t>
        </is>
      </c>
      <c r="O130" s="39" t="inlineStr">
        <is>
          <t>2人</t>
        </is>
      </c>
      <c r="P130" s="39" t="inlineStr">
        <is>
          <t>月1回</t>
        </is>
      </c>
      <c r="Q130" s="38" t="inlineStr">
        <is>
          <t>未着手</t>
        </is>
      </c>
    </row>
    <row r="131">
      <c r="A131" s="42" t="inlineStr">
        <is>
          <t>R129</t>
        </is>
      </c>
      <c r="B131" s="42" t="inlineStr">
        <is>
          <t>通期</t>
        </is>
      </c>
      <c r="C131" s="42" t="inlineStr">
        <is>
          <t>コミュニケーション</t>
        </is>
      </c>
      <c r="D131" s="49" t="inlineStr">
        <is>
          <t>不満を溜めて限界で爆発する</t>
        </is>
      </c>
      <c r="E131" s="45" t="inlineStr">
        <is>
          <t>小さな不満を言わずに我慢する</t>
        </is>
      </c>
      <c r="F131" s="45" t="inlineStr">
        <is>
          <t>突然「もう無理」と言い出す</t>
        </is>
      </c>
      <c r="G131" s="45" t="inlineStr">
        <is>
          <t>溜める側：言っても変わらない。言われる側：なぜ今まで黙っていたのか</t>
        </is>
      </c>
      <c r="H131" s="38" t="n">
        <v>4</v>
      </c>
      <c r="I131" s="38" t="n">
        <v>5</v>
      </c>
      <c r="J131" s="42">
        <f>H131*I131</f>
        <v/>
      </c>
      <c r="K131" s="42">
        <f>IF(J131&gt;=16,"最優先",IF(J131&gt;=12,"高",IF(J131&gt;=6,"中","低")))</f>
        <v/>
      </c>
      <c r="L131" s="45" t="inlineStr">
        <is>
          <t>週次ミーティングに「言えていないこと」の枠を作る。小さいうちに出す</t>
        </is>
      </c>
      <c r="M131" s="45" t="inlineStr">
        <is>
          <t>爆発した内容を1つずつ具体的な要求に翻訳して、対応可能なものから変える</t>
        </is>
      </c>
      <c r="N131" s="45" t="inlineStr">
        <is>
          <t>定例で毎週出す仕組みを止めない</t>
        </is>
      </c>
      <c r="O131" s="42" t="inlineStr">
        <is>
          <t>2人</t>
        </is>
      </c>
      <c r="P131" s="42" t="inlineStr">
        <is>
          <t>月1回</t>
        </is>
      </c>
      <c r="Q131" s="38" t="inlineStr">
        <is>
          <t>未着手</t>
        </is>
      </c>
    </row>
    <row r="132">
      <c r="A132" s="39" t="inlineStr">
        <is>
          <t>R130</t>
        </is>
      </c>
      <c r="B132" s="39" t="inlineStr">
        <is>
          <t>通期</t>
        </is>
      </c>
      <c r="C132" s="39" t="inlineStr">
        <is>
          <t>時間</t>
        </is>
      </c>
      <c r="D132" s="50" t="inlineStr">
        <is>
          <t>2人だけの時間がゼロになる</t>
        </is>
      </c>
      <c r="E132" s="24" t="inlineStr">
        <is>
          <t>育児と仕事で予定が埋まる</t>
        </is>
      </c>
      <c r="F132" s="24" t="inlineStr">
        <is>
          <t>半年以上2人で外出していない</t>
        </is>
      </c>
      <c r="G132" s="24" t="inlineStr">
        <is>
          <t>どちらも：パートナーではなく同僚になっている</t>
        </is>
      </c>
      <c r="H132" s="38" t="n">
        <v>4</v>
      </c>
      <c r="I132" s="38" t="n">
        <v>3</v>
      </c>
      <c r="J132" s="39">
        <f>H132*I132</f>
        <v/>
      </c>
      <c r="K132" s="39">
        <f>IF(J132&gt;=16,"最優先",IF(J132&gt;=12,"高",IF(J132&gt;=6,"中","低")))</f>
        <v/>
      </c>
      <c r="L132" s="24" t="inlineStr">
        <is>
          <t>一時預かり・祖父母・シッターを使って、月1回は2人の時間を予定として固定する</t>
        </is>
      </c>
      <c r="M132" s="24" t="inlineStr">
        <is>
          <t>2時間でもいいので外に出る</t>
        </is>
      </c>
      <c r="N132" s="24" t="inlineStr">
        <is>
          <t>予定として先にカレンダーに入れる（空いたら行くでは実現しない）</t>
        </is>
      </c>
      <c r="O132" s="39" t="inlineStr">
        <is>
          <t>2人</t>
        </is>
      </c>
      <c r="P132" s="39" t="inlineStr">
        <is>
          <t>月1回</t>
        </is>
      </c>
      <c r="Q132" s="38" t="inlineStr">
        <is>
          <t>未着手</t>
        </is>
      </c>
    </row>
    <row r="133">
      <c r="A133" s="42" t="inlineStr">
        <is>
          <t>R131</t>
        </is>
      </c>
      <c r="B133" s="42" t="inlineStr">
        <is>
          <t>通期</t>
        </is>
      </c>
      <c r="C133" s="42" t="inlineStr">
        <is>
          <t>意思決定</t>
        </is>
      </c>
      <c r="D133" s="49" t="inlineStr">
        <is>
          <t>「話し合ったことを忘れる／解釈が違う」</t>
        </is>
      </c>
      <c r="E133" s="45" t="inlineStr">
        <is>
          <t>口頭で決めたことが記憶違いになる</t>
        </is>
      </c>
      <c r="F133" s="45" t="inlineStr">
        <is>
          <t>「そんなこと言ってない」が出る</t>
        </is>
      </c>
      <c r="G133" s="45" t="inlineStr">
        <is>
          <t>どちらも：自分の記憶が正しいと思っている</t>
        </is>
      </c>
      <c r="H133" s="38" t="n">
        <v>4</v>
      </c>
      <c r="I133" s="38" t="n">
        <v>3</v>
      </c>
      <c r="J133" s="42">
        <f>H133*I133</f>
        <v/>
      </c>
      <c r="K133" s="42">
        <f>IF(J133&gt;=16,"最優先",IF(J133&gt;=12,"高",IF(J133&gt;=6,"中","低")))</f>
        <v/>
      </c>
      <c r="L133" s="45" t="inlineStr">
        <is>
          <t>決めたことは短くてよいので文字で残す（共有ドライブ・このスプレッドシート）</t>
        </is>
      </c>
      <c r="M133" s="45" t="inlineStr">
        <is>
          <t>記録を見に行く。記録がなければ決めていないものとして決め直す</t>
        </is>
      </c>
      <c r="N133" s="45" t="inlineStr">
        <is>
          <t>重要な合意はこのシートのメモ欄に日付付きで書く</t>
        </is>
      </c>
      <c r="O133" s="42" t="inlineStr">
        <is>
          <t>2人</t>
        </is>
      </c>
      <c r="P133" s="42" t="inlineStr">
        <is>
          <t>月1回</t>
        </is>
      </c>
      <c r="Q133" s="38" t="inlineStr">
        <is>
          <t>未着手</t>
        </is>
      </c>
    </row>
  </sheetData>
  <autoFilter ref="A2:Q133"/>
  <conditionalFormatting sqref="Q3:Q133">
    <cfRule type="cellIs" priority="1" operator="equal" dxfId="2">
      <formula>"完了"</formula>
    </cfRule>
    <cfRule type="cellIs" priority="2" operator="equal" dxfId="3">
      <formula>"進行中"</formula>
    </cfRule>
    <cfRule type="cellIs" priority="3" operator="equal" dxfId="4">
      <formula>"対象外"</formula>
    </cfRule>
  </conditionalFormatting>
  <conditionalFormatting sqref="K3:K133">
    <cfRule type="cellIs" priority="4" operator="equal" dxfId="6">
      <formula>"最優先"</formula>
    </cfRule>
    <cfRule type="cellIs" priority="5" operator="equal" dxfId="7">
      <formula>"高"</formula>
    </cfRule>
    <cfRule type="cellIs" priority="6" operator="equal" dxfId="3">
      <formula>"中"</formula>
    </cfRule>
  </conditionalFormatting>
  <conditionalFormatting sqref="J3:J133">
    <cfRule type="cellIs" priority="7" operator="greaterThanOrEqual" dxfId="8">
      <formula>16</formula>
    </cfRule>
  </conditionalFormatting>
  <dataValidations count="2">
    <dataValidation sqref="Q3:Q133" showDropDown="0" showInputMessage="0" showErrorMessage="0" allowBlank="1" type="list">
      <formula1>"未着手,進行中,完了,対象外"</formula1>
    </dataValidation>
    <dataValidation sqref="H3:I133" showDropDown="0" showInputMessage="0" showErrorMessage="1" allowBlank="1" error="1〜5の整数を入れてください"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2026-08-11T15:28:47Z</dcterms:created>
  <dcterms:modified xsi:type="dcterms:W3CDTF">2026-08-11T15:28:48Z</dcterms:modified>
</cp:coreProperties>
</file>